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Mon Drive\KdeKom\Agence Kdekom\CA KdeKOM\"/>
    </mc:Choice>
  </mc:AlternateContent>
  <xr:revisionPtr revIDLastSave="0" documentId="13_ncr:1_{BA9B7A86-5CA8-43CE-9B8C-4EBD0E773AD7}" xr6:coauthVersionLast="47" xr6:coauthVersionMax="47" xr10:uidLastSave="{00000000-0000-0000-0000-000000000000}"/>
  <bookViews>
    <workbookView xWindow="-120" yWindow="-120" windowWidth="29040" windowHeight="15720" tabRatio="435" activeTab="1" xr2:uid="{00000000-000D-0000-FFFF-FFFF00000000}"/>
  </bookViews>
  <sheets>
    <sheet name="RECAP" sheetId="2" r:id="rId1"/>
    <sheet name="MISSIONS" sheetId="13" r:id="rId2"/>
    <sheet name="Données" sheetId="12" r:id="rId3"/>
  </sheets>
  <definedNames>
    <definedName name="_xlnm._FilterDatabase" localSheetId="1" hidden="1">MISSIONS!$A$2:$AR$285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3" i="13" l="1"/>
  <c r="Y250" i="13"/>
  <c r="Y248" i="13"/>
  <c r="Y247" i="13"/>
  <c r="Y246" i="13"/>
  <c r="Y245" i="13"/>
  <c r="Y243" i="13"/>
  <c r="Y242" i="13"/>
  <c r="Y241" i="13"/>
  <c r="Y240" i="13"/>
  <c r="Y239" i="13"/>
  <c r="Y222" i="13"/>
  <c r="Y221" i="13"/>
  <c r="Y201" i="13"/>
  <c r="Y200" i="13"/>
  <c r="Y198" i="13"/>
  <c r="Y197" i="13"/>
  <c r="Y194" i="13"/>
  <c r="Y193" i="13"/>
  <c r="Y190" i="13"/>
  <c r="Y189" i="13"/>
  <c r="Y186" i="13"/>
  <c r="Y185" i="13"/>
  <c r="Y179" i="13"/>
  <c r="Y182" i="13"/>
  <c r="Y181" i="13"/>
  <c r="Y180" i="13"/>
  <c r="Y176" i="13"/>
  <c r="Y175" i="13"/>
  <c r="Y173" i="13"/>
  <c r="Y157" i="13"/>
  <c r="Y170" i="13"/>
  <c r="Y169" i="13"/>
  <c r="Y168" i="13"/>
  <c r="Y140" i="13"/>
  <c r="Y139" i="13"/>
  <c r="Y138" i="13"/>
  <c r="Y127" i="13"/>
  <c r="Y126" i="13"/>
  <c r="Y125" i="13"/>
  <c r="Y124" i="13"/>
  <c r="Y123" i="13"/>
  <c r="Y122" i="13"/>
  <c r="Y121" i="13"/>
  <c r="Y120" i="13"/>
  <c r="Y119" i="13"/>
  <c r="Y118" i="13"/>
  <c r="Y117" i="13"/>
  <c r="Y116" i="13"/>
  <c r="Y114" i="13"/>
  <c r="Y113" i="13"/>
  <c r="Y112" i="13"/>
  <c r="Y94" i="13"/>
  <c r="Y93" i="13"/>
  <c r="Y92" i="13"/>
  <c r="Y81" i="13"/>
  <c r="Y80" i="13"/>
  <c r="Y79" i="13"/>
  <c r="Y68" i="13"/>
  <c r="Y67" i="13"/>
  <c r="Y66" i="13"/>
  <c r="Y55" i="13"/>
  <c r="Y54" i="13"/>
  <c r="Y53" i="13"/>
  <c r="Y41" i="13"/>
  <c r="Y40" i="13"/>
  <c r="Y39" i="13"/>
  <c r="Y28" i="13"/>
  <c r="Y27" i="13"/>
  <c r="Y26" i="13"/>
  <c r="Y15" i="13"/>
  <c r="Y14" i="13"/>
  <c r="P201" i="13"/>
  <c r="P200" i="13"/>
  <c r="P170" i="13"/>
  <c r="P169" i="13"/>
  <c r="P198" i="13"/>
  <c r="P197" i="13"/>
  <c r="P194" i="13"/>
  <c r="P193" i="13"/>
  <c r="P190" i="13"/>
  <c r="P189" i="13"/>
  <c r="P186" i="13"/>
  <c r="P185" i="13"/>
  <c r="P182" i="13"/>
  <c r="P181" i="13"/>
  <c r="P176" i="13"/>
  <c r="P175" i="13"/>
  <c r="P173" i="13"/>
  <c r="P172" i="13"/>
  <c r="P140" i="13"/>
  <c r="P139" i="13"/>
  <c r="P127" i="13"/>
  <c r="P126" i="13"/>
  <c r="P125" i="13"/>
  <c r="P124" i="13"/>
  <c r="P123" i="13"/>
  <c r="P122" i="13"/>
  <c r="P121" i="13"/>
  <c r="P120" i="13"/>
  <c r="P119" i="13"/>
  <c r="P118" i="13"/>
  <c r="P117" i="13"/>
  <c r="P114" i="13"/>
  <c r="P113" i="13"/>
  <c r="P94" i="13"/>
  <c r="P93" i="13"/>
  <c r="P81" i="13"/>
  <c r="P80" i="13"/>
  <c r="P68" i="13"/>
  <c r="P67" i="13"/>
  <c r="P41" i="13"/>
  <c r="P40" i="13"/>
  <c r="P28" i="13"/>
  <c r="P27" i="13"/>
  <c r="P15" i="13"/>
  <c r="P14" i="13"/>
  <c r="M55" i="13"/>
  <c r="P55" i="13" s="1"/>
  <c r="Y226" i="13"/>
  <c r="Y225" i="13"/>
  <c r="Y224" i="13"/>
  <c r="Y237" i="13"/>
  <c r="Y236" i="13"/>
  <c r="Y235" i="13"/>
  <c r="Y234" i="13"/>
  <c r="Y233" i="13"/>
  <c r="Y232" i="13"/>
  <c r="Y231" i="13"/>
  <c r="Y230" i="13"/>
  <c r="Y229" i="13"/>
  <c r="Y228" i="13"/>
  <c r="Y280" i="13"/>
  <c r="Y279" i="13"/>
  <c r="Y278" i="13"/>
  <c r="Y277" i="13"/>
  <c r="Y276" i="13"/>
  <c r="Y275" i="13"/>
  <c r="Y274" i="13"/>
  <c r="Y273" i="13"/>
  <c r="Y272" i="13"/>
  <c r="Y271" i="13"/>
  <c r="Y270" i="13"/>
  <c r="Y268" i="13"/>
  <c r="Y267" i="13"/>
  <c r="Y266" i="13"/>
  <c r="Y265" i="13"/>
  <c r="Y264" i="13"/>
  <c r="Y263" i="13"/>
  <c r="Y262" i="13"/>
  <c r="Y261" i="13"/>
  <c r="Y259" i="13"/>
  <c r="Y258" i="13"/>
  <c r="Y257" i="13"/>
  <c r="Y256" i="13"/>
  <c r="Y255" i="13"/>
  <c r="M145" i="13"/>
  <c r="M192" i="13"/>
  <c r="M188" i="13"/>
  <c r="Y252" i="13"/>
  <c r="Y251" i="13"/>
  <c r="Y244" i="13"/>
  <c r="Y172" i="13"/>
  <c r="Y13" i="13"/>
  <c r="X196" i="13" l="1"/>
  <c r="X192" i="13"/>
  <c r="X207" i="13" l="1"/>
  <c r="X206" i="13"/>
  <c r="X205" i="13"/>
  <c r="AT205" i="13" s="1"/>
  <c r="X204" i="13"/>
  <c r="X203" i="13"/>
  <c r="X5" i="13"/>
  <c r="P39" i="13"/>
  <c r="X201" i="13"/>
  <c r="X200" i="13"/>
  <c r="X198" i="13"/>
  <c r="AT198" i="13" s="1"/>
  <c r="X197" i="13"/>
  <c r="AT197" i="13" s="1"/>
  <c r="AT196" i="13"/>
  <c r="X194" i="13"/>
  <c r="AT194" i="13" s="1"/>
  <c r="X193" i="13"/>
  <c r="AT193" i="13" s="1"/>
  <c r="AT192" i="13"/>
  <c r="X190" i="13"/>
  <c r="AT190" i="13" s="1"/>
  <c r="X189" i="13"/>
  <c r="AT189" i="13" s="1"/>
  <c r="X188" i="13"/>
  <c r="AT188" i="13" s="1"/>
  <c r="X186" i="13"/>
  <c r="AT186" i="13" s="1"/>
  <c r="X185" i="13"/>
  <c r="AT185" i="13" s="1"/>
  <c r="X184" i="13"/>
  <c r="AT184" i="13" s="1"/>
  <c r="X182" i="13"/>
  <c r="AT182" i="13" s="1"/>
  <c r="X181" i="13"/>
  <c r="AT181" i="13" s="1"/>
  <c r="X179" i="13"/>
  <c r="AT179" i="13" s="1"/>
  <c r="X178" i="13"/>
  <c r="AT178" i="13" s="1"/>
  <c r="AT145" i="13"/>
  <c r="J145" i="13"/>
  <c r="X216" i="13"/>
  <c r="U216" i="13"/>
  <c r="V216" i="13" s="1"/>
  <c r="Z216" i="13" s="1"/>
  <c r="O216" i="13"/>
  <c r="M79" i="13"/>
  <c r="P79" i="13" s="1"/>
  <c r="Y6" i="13"/>
  <c r="X6" i="13" s="1"/>
  <c r="Y167" i="13"/>
  <c r="Y166" i="13"/>
  <c r="X166" i="13" s="1"/>
  <c r="Y165" i="13"/>
  <c r="X165" i="13" s="1"/>
  <c r="Y164" i="13"/>
  <c r="Y163" i="13"/>
  <c r="Y162" i="13"/>
  <c r="Y161" i="13"/>
  <c r="X161" i="13" s="1"/>
  <c r="Y160" i="13"/>
  <c r="Y159" i="13"/>
  <c r="X180" i="13"/>
  <c r="AT180" i="13" s="1"/>
  <c r="Y137" i="13"/>
  <c r="Y136" i="13"/>
  <c r="Y135" i="13"/>
  <c r="Y134" i="13"/>
  <c r="Y133" i="13"/>
  <c r="Y132" i="13"/>
  <c r="Y131" i="13"/>
  <c r="Y130" i="13"/>
  <c r="Y129" i="13"/>
  <c r="X127" i="13"/>
  <c r="AT127" i="13" s="1"/>
  <c r="X126" i="13"/>
  <c r="AT126" i="13" s="1"/>
  <c r="X125" i="13"/>
  <c r="AT125" i="13" s="1"/>
  <c r="X124" i="13"/>
  <c r="AT124" i="13" s="1"/>
  <c r="X121" i="13"/>
  <c r="AT121" i="13" s="1"/>
  <c r="X120" i="13"/>
  <c r="AT120" i="13" s="1"/>
  <c r="X119" i="13"/>
  <c r="AT119" i="13" s="1"/>
  <c r="X118" i="13"/>
  <c r="AT118" i="13" s="1"/>
  <c r="X117" i="13"/>
  <c r="AT117" i="13" s="1"/>
  <c r="X116" i="13"/>
  <c r="AT116" i="13" s="1"/>
  <c r="Y111" i="13"/>
  <c r="Y110" i="13"/>
  <c r="Y109" i="13"/>
  <c r="Y108" i="13"/>
  <c r="Y107" i="13"/>
  <c r="Y106" i="13"/>
  <c r="Y105" i="13"/>
  <c r="Y104" i="13"/>
  <c r="Y103" i="13"/>
  <c r="Y101" i="13"/>
  <c r="X101" i="13" s="1"/>
  <c r="AT101" i="13" s="1"/>
  <c r="Y100" i="13"/>
  <c r="X100" i="13" s="1"/>
  <c r="AT100" i="13" s="1"/>
  <c r="Y99" i="13"/>
  <c r="X99" i="13" s="1"/>
  <c r="AT99" i="13" s="1"/>
  <c r="Y98" i="13"/>
  <c r="X98" i="13" s="1"/>
  <c r="AT98" i="13" s="1"/>
  <c r="Y97" i="13"/>
  <c r="X97" i="13" s="1"/>
  <c r="AT97" i="13" s="1"/>
  <c r="Y96" i="13"/>
  <c r="X96" i="13" s="1"/>
  <c r="AT96" i="13" s="1"/>
  <c r="Y91" i="13"/>
  <c r="Y90" i="13"/>
  <c r="Y89" i="13"/>
  <c r="Y88" i="13"/>
  <c r="Y87" i="13"/>
  <c r="Y86" i="13"/>
  <c r="Y85" i="13"/>
  <c r="Y84" i="13"/>
  <c r="Y83" i="13"/>
  <c r="Y78" i="13"/>
  <c r="Y77" i="13"/>
  <c r="Y76" i="13"/>
  <c r="Y75" i="13"/>
  <c r="Y74" i="13"/>
  <c r="Y73" i="13"/>
  <c r="Y72" i="13"/>
  <c r="Y71" i="13"/>
  <c r="Y70" i="13"/>
  <c r="Y65" i="13"/>
  <c r="Y64" i="13"/>
  <c r="Y63" i="13"/>
  <c r="Y62" i="13"/>
  <c r="Y61" i="13"/>
  <c r="Y60" i="13"/>
  <c r="Y59" i="13"/>
  <c r="Y58" i="13"/>
  <c r="Y57" i="13"/>
  <c r="Y52" i="13"/>
  <c r="Y51" i="13"/>
  <c r="Y50" i="13"/>
  <c r="Y49" i="13"/>
  <c r="Y48" i="13"/>
  <c r="Y47" i="13"/>
  <c r="Y46" i="13"/>
  <c r="Y45" i="13"/>
  <c r="Y44" i="13"/>
  <c r="Y42" i="13"/>
  <c r="Y38" i="13"/>
  <c r="Y37" i="13"/>
  <c r="Y36" i="13"/>
  <c r="Y35" i="13"/>
  <c r="Y34" i="13"/>
  <c r="Y33" i="13"/>
  <c r="Y32" i="13"/>
  <c r="Y31" i="13"/>
  <c r="Y30" i="13"/>
  <c r="Y25" i="13"/>
  <c r="Y24" i="13"/>
  <c r="Y23" i="13"/>
  <c r="Y22" i="13"/>
  <c r="Y21" i="13"/>
  <c r="Y20" i="13"/>
  <c r="Y19" i="13"/>
  <c r="Y18" i="13"/>
  <c r="Y17" i="13"/>
  <c r="X15" i="13"/>
  <c r="X14" i="13"/>
  <c r="X13" i="13"/>
  <c r="AT13" i="13" s="1"/>
  <c r="Y12" i="13"/>
  <c r="X12" i="13" s="1"/>
  <c r="Y11" i="13"/>
  <c r="X11" i="13" s="1"/>
  <c r="Y10" i="13"/>
  <c r="X10" i="13" s="1"/>
  <c r="Y9" i="13"/>
  <c r="X9" i="13" s="1"/>
  <c r="Y8" i="13"/>
  <c r="X8" i="13" s="1"/>
  <c r="Y7" i="13"/>
  <c r="X7" i="13" s="1"/>
  <c r="Y156" i="13"/>
  <c r="Y155" i="13"/>
  <c r="Y154" i="13"/>
  <c r="Y153" i="13"/>
  <c r="Y152" i="13"/>
  <c r="Y151" i="13"/>
  <c r="Y150" i="13"/>
  <c r="Y149" i="13"/>
  <c r="Y148" i="13"/>
  <c r="Y144" i="13"/>
  <c r="X257" i="13"/>
  <c r="Y143" i="13"/>
  <c r="Y142" i="13"/>
  <c r="M209" i="13"/>
  <c r="D196" i="13"/>
  <c r="D192" i="13"/>
  <c r="D180" i="13"/>
  <c r="D184" i="13"/>
  <c r="X280" i="13"/>
  <c r="X279" i="13"/>
  <c r="X278" i="13"/>
  <c r="X275" i="13"/>
  <c r="X274" i="13"/>
  <c r="X259" i="13"/>
  <c r="X258" i="13"/>
  <c r="X253" i="13"/>
  <c r="X251" i="13"/>
  <c r="X237" i="13"/>
  <c r="X236" i="13"/>
  <c r="X235" i="13"/>
  <c r="X234" i="13"/>
  <c r="X233" i="13"/>
  <c r="X232" i="13"/>
  <c r="X224" i="13"/>
  <c r="O125" i="13"/>
  <c r="S125" i="13" s="1"/>
  <c r="O124" i="13"/>
  <c r="S124" i="13" s="1"/>
  <c r="O121" i="13"/>
  <c r="S121" i="13" s="1"/>
  <c r="J121" i="13"/>
  <c r="D121" i="13"/>
  <c r="B121" i="13"/>
  <c r="J120" i="13"/>
  <c r="D120" i="13"/>
  <c r="B120" i="13"/>
  <c r="J119" i="13"/>
  <c r="D119" i="13"/>
  <c r="B119" i="13"/>
  <c r="J118" i="13"/>
  <c r="D118" i="13"/>
  <c r="B118" i="13"/>
  <c r="O117" i="13"/>
  <c r="S117" i="13" s="1"/>
  <c r="J117" i="13"/>
  <c r="M116" i="13"/>
  <c r="P116" i="13" s="1"/>
  <c r="J116" i="13"/>
  <c r="O127" i="13"/>
  <c r="S127" i="13" s="1"/>
  <c r="J127" i="13"/>
  <c r="D127" i="13"/>
  <c r="B127" i="13"/>
  <c r="O126" i="13"/>
  <c r="S126" i="13" s="1"/>
  <c r="J126" i="13"/>
  <c r="D126" i="13"/>
  <c r="B126" i="13"/>
  <c r="J125" i="13"/>
  <c r="D125" i="13"/>
  <c r="B125" i="13"/>
  <c r="J124" i="13"/>
  <c r="D124" i="13"/>
  <c r="B124" i="13"/>
  <c r="AT146" i="13"/>
  <c r="X231" i="13"/>
  <c r="X230" i="13"/>
  <c r="X229" i="13"/>
  <c r="X228" i="13"/>
  <c r="N192" i="13"/>
  <c r="P192" i="13" s="1"/>
  <c r="N184" i="13"/>
  <c r="P184" i="13" s="1"/>
  <c r="L280" i="13"/>
  <c r="L279" i="13"/>
  <c r="L278" i="13"/>
  <c r="L277" i="13"/>
  <c r="L276" i="13"/>
  <c r="L275" i="13"/>
  <c r="L274" i="13"/>
  <c r="L273" i="13"/>
  <c r="L272" i="13"/>
  <c r="L271" i="13"/>
  <c r="L270" i="13"/>
  <c r="M54" i="13"/>
  <c r="P54" i="13" s="1"/>
  <c r="L252" i="13"/>
  <c r="M12" i="13"/>
  <c r="P12" i="13" s="1"/>
  <c r="M11" i="13"/>
  <c r="M10" i="13"/>
  <c r="M9" i="13"/>
  <c r="M8" i="13"/>
  <c r="M7" i="13"/>
  <c r="M6" i="13"/>
  <c r="M5" i="13"/>
  <c r="M92" i="13"/>
  <c r="P92" i="13" s="1"/>
  <c r="M66" i="13"/>
  <c r="P66" i="13" s="1"/>
  <c r="M53" i="13"/>
  <c r="P53" i="13" s="1"/>
  <c r="M26" i="13"/>
  <c r="P26" i="13" s="1"/>
  <c r="U192" i="13" l="1"/>
  <c r="AT161" i="13"/>
  <c r="X162" i="13"/>
  <c r="AT162" i="13" s="1"/>
  <c r="AT165" i="13"/>
  <c r="X164" i="13"/>
  <c r="AT164" i="13" s="1"/>
  <c r="X167" i="13"/>
  <c r="AT167" i="13" s="1"/>
  <c r="X160" i="13"/>
  <c r="AT160" i="13" s="1"/>
  <c r="X168" i="13"/>
  <c r="AT168" i="13" s="1"/>
  <c r="X163" i="13"/>
  <c r="AT163" i="13" s="1"/>
  <c r="AT166" i="13"/>
  <c r="X169" i="13"/>
  <c r="AT169" i="13" s="1"/>
  <c r="X159" i="13"/>
  <c r="AT159" i="13" s="1"/>
  <c r="X170" i="13"/>
  <c r="AT170" i="13" s="1"/>
  <c r="O145" i="13"/>
  <c r="U117" i="13"/>
  <c r="V117" i="13" s="1"/>
  <c r="U121" i="13"/>
  <c r="V121" i="13" s="1"/>
  <c r="U126" i="13"/>
  <c r="V126" i="13" s="1"/>
  <c r="X225" i="13"/>
  <c r="X226" i="13"/>
  <c r="X273" i="13"/>
  <c r="X276" i="13"/>
  <c r="X277" i="13"/>
  <c r="X256" i="13"/>
  <c r="X252" i="13"/>
  <c r="X250" i="13"/>
  <c r="O116" i="13"/>
  <c r="S116" i="13" s="1"/>
  <c r="O120" i="13"/>
  <c r="S120" i="13" s="1"/>
  <c r="O119" i="13"/>
  <c r="S119" i="13" s="1"/>
  <c r="O118" i="13"/>
  <c r="S118" i="13" s="1"/>
  <c r="X175" i="13"/>
  <c r="AT175" i="13" s="1"/>
  <c r="X172" i="13"/>
  <c r="AT172" i="13" s="1"/>
  <c r="X176" i="13"/>
  <c r="AT176" i="13" s="1"/>
  <c r="X272" i="13"/>
  <c r="X271" i="13"/>
  <c r="X270" i="13"/>
  <c r="X173" i="13"/>
  <c r="AT173" i="13" s="1"/>
  <c r="U175" i="13"/>
  <c r="O175" i="13"/>
  <c r="B175" i="13" s="1"/>
  <c r="J175" i="13"/>
  <c r="D175" i="13"/>
  <c r="O193" i="13"/>
  <c r="B193" i="13" s="1"/>
  <c r="O189" i="13"/>
  <c r="O185" i="13"/>
  <c r="S185" i="13" s="1"/>
  <c r="O176" i="13"/>
  <c r="O173" i="13"/>
  <c r="O172" i="13"/>
  <c r="O265" i="13"/>
  <c r="U265" i="13" s="1"/>
  <c r="V265" i="13" s="1"/>
  <c r="M253" i="13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J197" i="13"/>
  <c r="D197" i="13"/>
  <c r="N196" i="13"/>
  <c r="P196" i="13" s="1"/>
  <c r="J196" i="13"/>
  <c r="J198" i="13"/>
  <c r="D198" i="13"/>
  <c r="O213" i="13"/>
  <c r="U213" i="13"/>
  <c r="V213" i="13" s="1"/>
  <c r="X213" i="13"/>
  <c r="AT213" i="13" s="1"/>
  <c r="M168" i="13"/>
  <c r="P168" i="13" s="1"/>
  <c r="M250" i="13"/>
  <c r="M215" i="13"/>
  <c r="M214" i="13"/>
  <c r="M212" i="13"/>
  <c r="M208" i="13"/>
  <c r="M13" i="13"/>
  <c r="P13" i="13" s="1"/>
  <c r="J168" i="13"/>
  <c r="X123" i="13"/>
  <c r="AT123" i="13" s="1"/>
  <c r="O123" i="13"/>
  <c r="S123" i="13" s="1"/>
  <c r="J123" i="13"/>
  <c r="D123" i="13"/>
  <c r="B123" i="13"/>
  <c r="X265" i="13"/>
  <c r="AD117" i="13" l="1"/>
  <c r="AB117" i="13"/>
  <c r="Z117" i="13"/>
  <c r="S189" i="13"/>
  <c r="U189" i="13" s="1"/>
  <c r="AB126" i="13"/>
  <c r="AD126" i="13"/>
  <c r="Z126" i="13"/>
  <c r="AD121" i="13"/>
  <c r="AB121" i="13"/>
  <c r="Z121" i="13"/>
  <c r="AB265" i="13"/>
  <c r="Z265" i="13"/>
  <c r="U185" i="13"/>
  <c r="B185" i="13"/>
  <c r="U196" i="13"/>
  <c r="V196" i="13" s="1"/>
  <c r="AD196" i="13" s="1"/>
  <c r="AH213" i="13"/>
  <c r="AJ213" i="13"/>
  <c r="Z213" i="13"/>
  <c r="AF213" i="13"/>
  <c r="AL213" i="13"/>
  <c r="AN213" i="13"/>
  <c r="AP213" i="13"/>
  <c r="AR213" i="13"/>
  <c r="AB213" i="13"/>
  <c r="S193" i="13"/>
  <c r="U193" i="13" s="1"/>
  <c r="AN117" i="13"/>
  <c r="AP117" i="13"/>
  <c r="AH117" i="13"/>
  <c r="AR117" i="13"/>
  <c r="AF117" i="13"/>
  <c r="AL117" i="13"/>
  <c r="AR145" i="13"/>
  <c r="AF145" i="13"/>
  <c r="AU145" i="13"/>
  <c r="Z145" i="13"/>
  <c r="AB145" i="13"/>
  <c r="AH145" i="13"/>
  <c r="AJ145" i="13"/>
  <c r="AL145" i="13"/>
  <c r="AN145" i="13"/>
  <c r="AP145" i="13"/>
  <c r="U124" i="13"/>
  <c r="V124" i="13" s="1"/>
  <c r="U118" i="13"/>
  <c r="V118" i="13" s="1"/>
  <c r="U127" i="13"/>
  <c r="V127" i="13" s="1"/>
  <c r="U120" i="13"/>
  <c r="V120" i="13" s="1"/>
  <c r="U116" i="13"/>
  <c r="V116" i="13" s="1"/>
  <c r="U119" i="13"/>
  <c r="V119" i="13" s="1"/>
  <c r="U125" i="13"/>
  <c r="V125" i="13" s="1"/>
  <c r="AJ117" i="13"/>
  <c r="AU213" i="13"/>
  <c r="AU117" i="13"/>
  <c r="AU121" i="13"/>
  <c r="AR121" i="13"/>
  <c r="AJ121" i="13"/>
  <c r="AP121" i="13"/>
  <c r="AL121" i="13"/>
  <c r="AN121" i="13"/>
  <c r="AH121" i="13"/>
  <c r="AF121" i="13"/>
  <c r="AU126" i="13"/>
  <c r="AL126" i="13"/>
  <c r="AH126" i="13"/>
  <c r="AF126" i="13"/>
  <c r="AR126" i="13"/>
  <c r="AN126" i="13"/>
  <c r="AP126" i="13"/>
  <c r="AJ126" i="13"/>
  <c r="AU265" i="13"/>
  <c r="V175" i="13"/>
  <c r="O196" i="13"/>
  <c r="O197" i="13"/>
  <c r="O198" i="13"/>
  <c r="U123" i="13"/>
  <c r="V123" i="13" s="1"/>
  <c r="O280" i="13"/>
  <c r="O278" i="13"/>
  <c r="U278" i="13" s="1"/>
  <c r="V278" i="13" s="1"/>
  <c r="O275" i="13"/>
  <c r="U275" i="13" s="1"/>
  <c r="V275" i="13" s="1"/>
  <c r="O274" i="13"/>
  <c r="U274" i="13" s="1"/>
  <c r="V274" i="13" s="1"/>
  <c r="O273" i="13"/>
  <c r="U273" i="13" s="1"/>
  <c r="V273" i="13" s="1"/>
  <c r="O272" i="13"/>
  <c r="U272" i="13" s="1"/>
  <c r="V272" i="13" s="1"/>
  <c r="O270" i="13"/>
  <c r="O268" i="13"/>
  <c r="U268" i="13" s="1"/>
  <c r="V268" i="13" s="1"/>
  <c r="O267" i="13"/>
  <c r="U267" i="13" s="1"/>
  <c r="V267" i="13" s="1"/>
  <c r="O266" i="13"/>
  <c r="U266" i="13" s="1"/>
  <c r="V266" i="13" s="1"/>
  <c r="O262" i="13"/>
  <c r="U262" i="13" s="1"/>
  <c r="V262" i="13" s="1"/>
  <c r="O261" i="13"/>
  <c r="U261" i="13" s="1"/>
  <c r="V261" i="13" s="1"/>
  <c r="O253" i="13"/>
  <c r="O250" i="13"/>
  <c r="O244" i="13"/>
  <c r="U244" i="13" s="1"/>
  <c r="V244" i="13" s="1"/>
  <c r="O236" i="13"/>
  <c r="X268" i="13"/>
  <c r="X267" i="13"/>
  <c r="X266" i="13"/>
  <c r="X264" i="13"/>
  <c r="X263" i="13"/>
  <c r="X262" i="13"/>
  <c r="X261" i="13"/>
  <c r="X255" i="13"/>
  <c r="X248" i="13"/>
  <c r="X247" i="13"/>
  <c r="X246" i="13"/>
  <c r="X245" i="13"/>
  <c r="X244" i="13"/>
  <c r="X243" i="13"/>
  <c r="X242" i="13"/>
  <c r="X241" i="13"/>
  <c r="X240" i="13"/>
  <c r="X239" i="13"/>
  <c r="X222" i="13"/>
  <c r="J200" i="13"/>
  <c r="J159" i="13"/>
  <c r="J193" i="13"/>
  <c r="J189" i="13"/>
  <c r="J176" i="13"/>
  <c r="J173" i="13"/>
  <c r="J172" i="13"/>
  <c r="J185" i="13"/>
  <c r="J148" i="13"/>
  <c r="J142" i="13"/>
  <c r="J129" i="13"/>
  <c r="J179" i="13"/>
  <c r="J122" i="13"/>
  <c r="J103" i="13"/>
  <c r="J101" i="13"/>
  <c r="J100" i="13"/>
  <c r="J99" i="13"/>
  <c r="J98" i="13"/>
  <c r="J97" i="13"/>
  <c r="J96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5" i="13"/>
  <c r="J14" i="13"/>
  <c r="J13" i="13"/>
  <c r="J12" i="13"/>
  <c r="J11" i="13"/>
  <c r="J10" i="13"/>
  <c r="J9" i="13"/>
  <c r="J8" i="13"/>
  <c r="J7" i="13"/>
  <c r="J6" i="13"/>
  <c r="J192" i="13"/>
  <c r="J188" i="13"/>
  <c r="J184" i="13"/>
  <c r="J146" i="13"/>
  <c r="J178" i="13"/>
  <c r="J42" i="13"/>
  <c r="J5" i="13"/>
  <c r="O263" i="13"/>
  <c r="U263" i="13" s="1"/>
  <c r="V263" i="13" s="1"/>
  <c r="L259" i="13"/>
  <c r="M259" i="13" s="1"/>
  <c r="O259" i="13" s="1"/>
  <c r="U259" i="13" s="1"/>
  <c r="V259" i="13" s="1"/>
  <c r="AB259" i="13" s="1"/>
  <c r="L258" i="13"/>
  <c r="M258" i="13" s="1"/>
  <c r="O258" i="13" s="1"/>
  <c r="U258" i="13" s="1"/>
  <c r="V258" i="13" s="1"/>
  <c r="AB258" i="13" s="1"/>
  <c r="L257" i="13"/>
  <c r="M257" i="13" s="1"/>
  <c r="O257" i="13" s="1"/>
  <c r="U257" i="13" s="1"/>
  <c r="V257" i="13" s="1"/>
  <c r="AB257" i="13" s="1"/>
  <c r="L256" i="13"/>
  <c r="O256" i="13" s="1"/>
  <c r="U256" i="13" s="1"/>
  <c r="V256" i="13" s="1"/>
  <c r="AB256" i="13" s="1"/>
  <c r="L255" i="13"/>
  <c r="O255" i="13" s="1"/>
  <c r="U255" i="13" s="1"/>
  <c r="V255" i="13" s="1"/>
  <c r="AB255" i="13" s="1"/>
  <c r="L248" i="13"/>
  <c r="M248" i="13" s="1"/>
  <c r="L247" i="13"/>
  <c r="M247" i="13" s="1"/>
  <c r="L246" i="13"/>
  <c r="M246" i="13" s="1"/>
  <c r="L245" i="13"/>
  <c r="M245" i="13" s="1"/>
  <c r="L244" i="13"/>
  <c r="L243" i="13"/>
  <c r="M243" i="13" s="1"/>
  <c r="L242" i="13"/>
  <c r="M242" i="13" s="1"/>
  <c r="L241" i="13"/>
  <c r="M241" i="13" s="1"/>
  <c r="L240" i="13"/>
  <c r="M240" i="13" s="1"/>
  <c r="L239" i="13"/>
  <c r="M239" i="13" s="1"/>
  <c r="L232" i="13"/>
  <c r="O232" i="13" s="1"/>
  <c r="L233" i="13"/>
  <c r="O233" i="13" s="1"/>
  <c r="L231" i="13"/>
  <c r="M231" i="13" s="1"/>
  <c r="L230" i="13"/>
  <c r="M230" i="13" s="1"/>
  <c r="L229" i="13"/>
  <c r="M229" i="13" s="1"/>
  <c r="J228" i="13"/>
  <c r="L228" i="13" s="1"/>
  <c r="M228" i="13" s="1"/>
  <c r="L222" i="13"/>
  <c r="M222" i="13" s="1"/>
  <c r="L221" i="13"/>
  <c r="M221" i="13" s="1"/>
  <c r="J234" i="13"/>
  <c r="L234" i="13" s="1"/>
  <c r="O234" i="13" s="1"/>
  <c r="L235" i="13"/>
  <c r="O235" i="13" s="1"/>
  <c r="O252" i="13"/>
  <c r="O251" i="13"/>
  <c r="O211" i="13"/>
  <c r="O210" i="13"/>
  <c r="O205" i="13"/>
  <c r="O168" i="13"/>
  <c r="O146" i="13"/>
  <c r="O94" i="13"/>
  <c r="S94" i="13" s="1"/>
  <c r="O93" i="13"/>
  <c r="S93" i="13" s="1"/>
  <c r="O81" i="13"/>
  <c r="S81" i="13" s="1"/>
  <c r="O80" i="13"/>
  <c r="S80" i="13" s="1"/>
  <c r="O79" i="13"/>
  <c r="S79" i="13" s="1"/>
  <c r="O68" i="13"/>
  <c r="S68" i="13" s="1"/>
  <c r="O67" i="13"/>
  <c r="S67" i="13" s="1"/>
  <c r="O41" i="13"/>
  <c r="S41" i="13" s="1"/>
  <c r="O40" i="13"/>
  <c r="S40" i="13" s="1"/>
  <c r="O39" i="13"/>
  <c r="S39" i="13" s="1"/>
  <c r="O28" i="13"/>
  <c r="S28" i="13" s="1"/>
  <c r="O27" i="13"/>
  <c r="S27" i="13" s="1"/>
  <c r="O15" i="13"/>
  <c r="S15" i="13" s="1"/>
  <c r="O14" i="13"/>
  <c r="S14" i="13" s="1"/>
  <c r="D194" i="13"/>
  <c r="D193" i="13"/>
  <c r="D190" i="13"/>
  <c r="D189" i="13"/>
  <c r="D176" i="13"/>
  <c r="D173" i="13"/>
  <c r="D172" i="13"/>
  <c r="D186" i="13"/>
  <c r="D146" i="13"/>
  <c r="D185" i="13"/>
  <c r="D55" i="13"/>
  <c r="D54" i="13"/>
  <c r="D53" i="13"/>
  <c r="D15" i="13"/>
  <c r="D14" i="13"/>
  <c r="D13" i="13"/>
  <c r="O200" i="13"/>
  <c r="B200" i="13" s="1"/>
  <c r="B189" i="13"/>
  <c r="B176" i="13"/>
  <c r="B173" i="13"/>
  <c r="B172" i="13"/>
  <c r="L225" i="13"/>
  <c r="L226" i="13"/>
  <c r="L224" i="13"/>
  <c r="AB175" i="13" l="1"/>
  <c r="AD175" i="13"/>
  <c r="Z175" i="13"/>
  <c r="AD125" i="13"/>
  <c r="AB125" i="13"/>
  <c r="Z125" i="13"/>
  <c r="AD119" i="13"/>
  <c r="AB119" i="13"/>
  <c r="Z119" i="13"/>
  <c r="AD116" i="13"/>
  <c r="AB116" i="13"/>
  <c r="Z116" i="13"/>
  <c r="AD120" i="13"/>
  <c r="AB120" i="13"/>
  <c r="Z120" i="13"/>
  <c r="AD127" i="13"/>
  <c r="AB127" i="13"/>
  <c r="Z127" i="13"/>
  <c r="AD118" i="13"/>
  <c r="AB118" i="13"/>
  <c r="Z118" i="13"/>
  <c r="AB124" i="13"/>
  <c r="AD124" i="13"/>
  <c r="Z124" i="13"/>
  <c r="AD123" i="13"/>
  <c r="AB123" i="13"/>
  <c r="Z123" i="13"/>
  <c r="B198" i="13"/>
  <c r="S198" i="13"/>
  <c r="U198" i="13" s="1"/>
  <c r="V198" i="13" s="1"/>
  <c r="B197" i="13"/>
  <c r="S197" i="13"/>
  <c r="U197" i="13" s="1"/>
  <c r="AR175" i="13"/>
  <c r="AH175" i="13"/>
  <c r="AF175" i="13"/>
  <c r="AB267" i="13"/>
  <c r="Z267" i="13"/>
  <c r="AB272" i="13"/>
  <c r="Z272" i="13"/>
  <c r="AB273" i="13"/>
  <c r="Z273" i="13"/>
  <c r="AB274" i="13"/>
  <c r="Z274" i="13"/>
  <c r="AB278" i="13"/>
  <c r="Z278" i="13"/>
  <c r="AB275" i="13"/>
  <c r="Z275" i="13"/>
  <c r="AB266" i="13"/>
  <c r="Z266" i="13"/>
  <c r="AB268" i="13"/>
  <c r="Z268" i="13"/>
  <c r="AB263" i="13"/>
  <c r="Z263" i="13"/>
  <c r="AB261" i="13"/>
  <c r="Z261" i="13"/>
  <c r="AB262" i="13"/>
  <c r="Z262" i="13"/>
  <c r="AB196" i="13"/>
  <c r="Z196" i="13"/>
  <c r="V189" i="13"/>
  <c r="AR196" i="13"/>
  <c r="AL196" i="13"/>
  <c r="AP196" i="13"/>
  <c r="AN196" i="13"/>
  <c r="AH116" i="13"/>
  <c r="AL116" i="13"/>
  <c r="AN116" i="13"/>
  <c r="AP116" i="13"/>
  <c r="AR116" i="13"/>
  <c r="AF116" i="13"/>
  <c r="V185" i="13"/>
  <c r="AU116" i="13"/>
  <c r="AF120" i="13"/>
  <c r="AU120" i="13"/>
  <c r="AJ120" i="13"/>
  <c r="AH120" i="13"/>
  <c r="AR120" i="13"/>
  <c r="AP120" i="13"/>
  <c r="AN120" i="13"/>
  <c r="AL120" i="13"/>
  <c r="AJ127" i="13"/>
  <c r="AH127" i="13"/>
  <c r="AL127" i="13"/>
  <c r="AF127" i="13"/>
  <c r="AU127" i="13"/>
  <c r="AR127" i="13"/>
  <c r="AP127" i="13"/>
  <c r="AN127" i="13"/>
  <c r="AR118" i="13"/>
  <c r="AJ118" i="13"/>
  <c r="AH118" i="13"/>
  <c r="AP118" i="13"/>
  <c r="AN118" i="13"/>
  <c r="AF118" i="13"/>
  <c r="AU118" i="13"/>
  <c r="AL118" i="13"/>
  <c r="AR125" i="13"/>
  <c r="AH125" i="13"/>
  <c r="AU125" i="13"/>
  <c r="AP125" i="13"/>
  <c r="AL125" i="13"/>
  <c r="AN125" i="13"/>
  <c r="AJ125" i="13"/>
  <c r="AF125" i="13"/>
  <c r="AL124" i="13"/>
  <c r="AN124" i="13"/>
  <c r="AR124" i="13"/>
  <c r="AF124" i="13"/>
  <c r="AH124" i="13"/>
  <c r="AP124" i="13"/>
  <c r="AU124" i="13"/>
  <c r="AJ124" i="13"/>
  <c r="AJ116" i="13"/>
  <c r="Z256" i="13"/>
  <c r="Z257" i="13"/>
  <c r="AB244" i="13"/>
  <c r="Z244" i="13"/>
  <c r="Z259" i="13"/>
  <c r="Z255" i="13"/>
  <c r="Z258" i="13"/>
  <c r="AF119" i="13"/>
  <c r="AL119" i="13"/>
  <c r="AP119" i="13"/>
  <c r="AN119" i="13"/>
  <c r="AJ119" i="13"/>
  <c r="AH119" i="13"/>
  <c r="AU119" i="13"/>
  <c r="AR119" i="13"/>
  <c r="AJ175" i="13"/>
  <c r="AU262" i="13"/>
  <c r="AU244" i="13"/>
  <c r="AU263" i="13"/>
  <c r="AU272" i="13"/>
  <c r="AU258" i="13"/>
  <c r="AU259" i="13"/>
  <c r="AU261" i="13"/>
  <c r="AU273" i="13"/>
  <c r="AU257" i="13"/>
  <c r="AU266" i="13"/>
  <c r="AU274" i="13"/>
  <c r="AU256" i="13"/>
  <c r="AU267" i="13"/>
  <c r="AU275" i="13"/>
  <c r="AU268" i="13"/>
  <c r="AU278" i="13"/>
  <c r="AJ123" i="13"/>
  <c r="AH123" i="13"/>
  <c r="AF123" i="13"/>
  <c r="U253" i="13"/>
  <c r="V253" i="13" s="1"/>
  <c r="U236" i="13"/>
  <c r="V236" i="13" s="1"/>
  <c r="U280" i="13"/>
  <c r="V280" i="13" s="1"/>
  <c r="U250" i="13"/>
  <c r="V250" i="13" s="1"/>
  <c r="U233" i="13"/>
  <c r="V233" i="13" s="1"/>
  <c r="U232" i="13"/>
  <c r="V232" i="13" s="1"/>
  <c r="U251" i="13"/>
  <c r="V251" i="13" s="1"/>
  <c r="U252" i="13"/>
  <c r="V252" i="13" s="1"/>
  <c r="U270" i="13"/>
  <c r="V270" i="13" s="1"/>
  <c r="U235" i="13"/>
  <c r="V235" i="13" s="1"/>
  <c r="U234" i="13"/>
  <c r="V234" i="13" s="1"/>
  <c r="AU175" i="13"/>
  <c r="AP175" i="13"/>
  <c r="AN175" i="13"/>
  <c r="AL175" i="13"/>
  <c r="O192" i="13"/>
  <c r="B192" i="13" s="1"/>
  <c r="O225" i="13"/>
  <c r="U225" i="13" s="1"/>
  <c r="V225" i="13" s="1"/>
  <c r="O226" i="13"/>
  <c r="U226" i="13" s="1"/>
  <c r="V226" i="13" s="1"/>
  <c r="O224" i="13"/>
  <c r="U224" i="13" s="1"/>
  <c r="V224" i="13" s="1"/>
  <c r="AU123" i="13"/>
  <c r="AR123" i="13"/>
  <c r="AN123" i="13"/>
  <c r="AL123" i="13"/>
  <c r="AP123" i="13"/>
  <c r="O240" i="13"/>
  <c r="U240" i="13" s="1"/>
  <c r="V240" i="13" s="1"/>
  <c r="O241" i="13"/>
  <c r="U241" i="13" s="1"/>
  <c r="V241" i="13" s="1"/>
  <c r="U14" i="13"/>
  <c r="U15" i="13"/>
  <c r="B15" i="13"/>
  <c r="V193" i="13"/>
  <c r="B14" i="13"/>
  <c r="AB241" i="13" l="1"/>
  <c r="Z241" i="13"/>
  <c r="AB240" i="13"/>
  <c r="Z240" i="13"/>
  <c r="AB250" i="13"/>
  <c r="Z250" i="13"/>
  <c r="AB253" i="13"/>
  <c r="Z253" i="13"/>
  <c r="AD198" i="13"/>
  <c r="AB198" i="13"/>
  <c r="Z198" i="13"/>
  <c r="AD189" i="13"/>
  <c r="AB189" i="13"/>
  <c r="Z189" i="13"/>
  <c r="AD185" i="13"/>
  <c r="AB185" i="13"/>
  <c r="Z185" i="13"/>
  <c r="AB193" i="13"/>
  <c r="AD193" i="13"/>
  <c r="Z193" i="13"/>
  <c r="AB236" i="13"/>
  <c r="Z236" i="13"/>
  <c r="AB225" i="13"/>
  <c r="Z225" i="13"/>
  <c r="AB280" i="13"/>
  <c r="Z280" i="13"/>
  <c r="AB234" i="13"/>
  <c r="Z234" i="13"/>
  <c r="AB235" i="13"/>
  <c r="Z235" i="13"/>
  <c r="AB224" i="13"/>
  <c r="Z224" i="13"/>
  <c r="AB270" i="13"/>
  <c r="Z270" i="13"/>
  <c r="AB226" i="13"/>
  <c r="Z226" i="13"/>
  <c r="AB232" i="13"/>
  <c r="Z232" i="13"/>
  <c r="AB233" i="13"/>
  <c r="Z233" i="13"/>
  <c r="AR189" i="13"/>
  <c r="AH189" i="13"/>
  <c r="AP189" i="13"/>
  <c r="AN189" i="13"/>
  <c r="AF189" i="13"/>
  <c r="AL189" i="13"/>
  <c r="AH198" i="13"/>
  <c r="AL198" i="13"/>
  <c r="AR198" i="13"/>
  <c r="AN198" i="13"/>
  <c r="AF198" i="13"/>
  <c r="AP198" i="13"/>
  <c r="AH193" i="13"/>
  <c r="AN193" i="13"/>
  <c r="AR193" i="13"/>
  <c r="AL193" i="13"/>
  <c r="AF193" i="13"/>
  <c r="AP193" i="13"/>
  <c r="AH185" i="13"/>
  <c r="AL185" i="13"/>
  <c r="AN185" i="13"/>
  <c r="AP185" i="13"/>
  <c r="AR185" i="13"/>
  <c r="AF185" i="13"/>
  <c r="V197" i="13"/>
  <c r="V192" i="13"/>
  <c r="AB252" i="13"/>
  <c r="Z252" i="13"/>
  <c r="AB251" i="13"/>
  <c r="Z251" i="13"/>
  <c r="AU241" i="13"/>
  <c r="AJ198" i="13"/>
  <c r="AU198" i="13"/>
  <c r="AU234" i="13"/>
  <c r="AU235" i="13"/>
  <c r="AU270" i="13"/>
  <c r="AU224" i="13"/>
  <c r="AU226" i="13"/>
  <c r="AU232" i="13"/>
  <c r="AU280" i="13"/>
  <c r="AU233" i="13"/>
  <c r="AU236" i="13"/>
  <c r="AU240" i="13"/>
  <c r="AU225" i="13"/>
  <c r="AU196" i="13"/>
  <c r="AB197" i="13" l="1"/>
  <c r="AD197" i="13"/>
  <c r="Z197" i="13"/>
  <c r="AB192" i="13"/>
  <c r="Z192" i="13"/>
  <c r="AU197" i="13"/>
  <c r="AJ197" i="13"/>
  <c r="AP192" i="13"/>
  <c r="AH197" i="13"/>
  <c r="AL197" i="13"/>
  <c r="AF197" i="13"/>
  <c r="AN197" i="13"/>
  <c r="AR197" i="13"/>
  <c r="AP197" i="13"/>
  <c r="AN192" i="13" l="1"/>
  <c r="AR192" i="13"/>
  <c r="X221" i="13" l="1"/>
  <c r="A39" i="2"/>
  <c r="A40" i="2"/>
  <c r="A41" i="2"/>
  <c r="A42" i="2"/>
  <c r="A43" i="2"/>
  <c r="A44" i="2"/>
  <c r="A45" i="2"/>
  <c r="A46" i="2"/>
  <c r="A47" i="2"/>
  <c r="A48" i="2"/>
  <c r="A49" i="2"/>
  <c r="D14" i="2"/>
  <c r="E14" i="2" s="1"/>
  <c r="N188" i="13" l="1"/>
  <c r="P188" i="13" s="1"/>
  <c r="U39" i="13"/>
  <c r="U79" i="13"/>
  <c r="F14" i="2"/>
  <c r="G14" i="2" s="1"/>
  <c r="H14" i="2" s="1"/>
  <c r="I14" i="2" s="1"/>
  <c r="J14" i="2" s="1"/>
  <c r="K14" i="2" s="1"/>
  <c r="L14" i="2" s="1"/>
  <c r="M14" i="2" s="1"/>
  <c r="N14" i="2" s="1"/>
  <c r="D15" i="2"/>
  <c r="E15" i="2" s="1"/>
  <c r="D12" i="2"/>
  <c r="E12" i="2" s="1"/>
  <c r="O184" i="13" l="1"/>
  <c r="O188" i="13"/>
  <c r="U184" i="13"/>
  <c r="B14" i="2"/>
  <c r="F15" i="2"/>
  <c r="G15" i="2" s="1"/>
  <c r="H15" i="2" s="1"/>
  <c r="I15" i="2" s="1"/>
  <c r="J15" i="2" s="1"/>
  <c r="K15" i="2" s="1"/>
  <c r="L15" i="2" s="1"/>
  <c r="M15" i="2" s="1"/>
  <c r="N15" i="2" s="1"/>
  <c r="F12" i="2"/>
  <c r="B188" i="13" l="1"/>
  <c r="U188" i="13"/>
  <c r="G12" i="2"/>
  <c r="B15" i="2"/>
  <c r="H12" i="2" l="1"/>
  <c r="I12" i="2" l="1"/>
  <c r="J12" i="2" l="1"/>
  <c r="K12" i="2" l="1"/>
  <c r="L12" i="2" l="1"/>
  <c r="AT201" i="13"/>
  <c r="L201" i="13"/>
  <c r="D201" i="13"/>
  <c r="AT200" i="13"/>
  <c r="U200" i="13"/>
  <c r="D200" i="13"/>
  <c r="O245" i="13"/>
  <c r="U245" i="13" s="1"/>
  <c r="V245" i="13" s="1"/>
  <c r="AB245" i="13" l="1"/>
  <c r="Z245" i="13"/>
  <c r="AU245" i="13"/>
  <c r="J201" i="13"/>
  <c r="M12" i="2"/>
  <c r="V200" i="13"/>
  <c r="O215" i="13"/>
  <c r="O212" i="13"/>
  <c r="O214" i="13"/>
  <c r="O279" i="13"/>
  <c r="U279" i="13" s="1"/>
  <c r="V279" i="13" s="1"/>
  <c r="A25" i="2"/>
  <c r="A26" i="2"/>
  <c r="L194" i="13"/>
  <c r="F194" i="13"/>
  <c r="F193" i="13"/>
  <c r="AB200" i="13" l="1"/>
  <c r="AD200" i="13"/>
  <c r="Z200" i="13"/>
  <c r="AB279" i="13"/>
  <c r="Z279" i="13"/>
  <c r="AF200" i="13"/>
  <c r="AJ200" i="13"/>
  <c r="AH200" i="13"/>
  <c r="AR200" i="13"/>
  <c r="AP200" i="13"/>
  <c r="AN200" i="13"/>
  <c r="AL200" i="13"/>
  <c r="AU200" i="13"/>
  <c r="AU279" i="13"/>
  <c r="J194" i="13"/>
  <c r="O201" i="13"/>
  <c r="B201" i="13" s="1"/>
  <c r="U201" i="13"/>
  <c r="N12" i="2"/>
  <c r="B12" i="2" s="1"/>
  <c r="V201" i="13" l="1"/>
  <c r="O194" i="13"/>
  <c r="B194" i="13" s="1"/>
  <c r="AD201" i="13" l="1"/>
  <c r="AB201" i="13"/>
  <c r="Z201" i="13"/>
  <c r="S194" i="13"/>
  <c r="U194" i="13" s="1"/>
  <c r="AH201" i="13"/>
  <c r="AU201" i="13"/>
  <c r="AL201" i="13"/>
  <c r="AN201" i="13"/>
  <c r="AP201" i="13"/>
  <c r="AR201" i="13"/>
  <c r="AF201" i="13"/>
  <c r="AJ201" i="13"/>
  <c r="AJ193" i="13"/>
  <c r="AU193" i="13"/>
  <c r="D11" i="2"/>
  <c r="E11" i="2" s="1"/>
  <c r="D16" i="2"/>
  <c r="E16" i="2" s="1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D13" i="2"/>
  <c r="V194" i="13" l="1"/>
  <c r="E13" i="2"/>
  <c r="AU192" i="13"/>
  <c r="F11" i="2"/>
  <c r="G11" i="2" s="1"/>
  <c r="H11" i="2" s="1"/>
  <c r="I11" i="2" s="1"/>
  <c r="J11" i="2" s="1"/>
  <c r="K11" i="2" s="1"/>
  <c r="L11" i="2" s="1"/>
  <c r="M11" i="2" s="1"/>
  <c r="N11" i="2" s="1"/>
  <c r="F16" i="2"/>
  <c r="G16" i="2" s="1"/>
  <c r="H16" i="2" s="1"/>
  <c r="I16" i="2" s="1"/>
  <c r="J16" i="2" s="1"/>
  <c r="K16" i="2" s="1"/>
  <c r="L16" i="2" s="1"/>
  <c r="M16" i="2" s="1"/>
  <c r="N16" i="2" s="1"/>
  <c r="U172" i="13"/>
  <c r="U176" i="13"/>
  <c r="X137" i="13"/>
  <c r="AT137" i="13" s="1"/>
  <c r="X78" i="13"/>
  <c r="AT78" i="13" s="1"/>
  <c r="X52" i="13"/>
  <c r="AT52" i="13" s="1"/>
  <c r="X38" i="13"/>
  <c r="AT38" i="13" s="1"/>
  <c r="B94" i="13"/>
  <c r="B93" i="13"/>
  <c r="B91" i="13"/>
  <c r="B90" i="13"/>
  <c r="B89" i="13"/>
  <c r="B88" i="13"/>
  <c r="B81" i="13"/>
  <c r="B80" i="13"/>
  <c r="B78" i="13"/>
  <c r="B77" i="13"/>
  <c r="B76" i="13"/>
  <c r="B68" i="13"/>
  <c r="B67" i="13"/>
  <c r="B65" i="13"/>
  <c r="B64" i="13"/>
  <c r="B63" i="13"/>
  <c r="B62" i="13"/>
  <c r="B42" i="13"/>
  <c r="B41" i="13"/>
  <c r="B40" i="13"/>
  <c r="B38" i="13"/>
  <c r="B37" i="13"/>
  <c r="B36" i="13"/>
  <c r="B35" i="13"/>
  <c r="X112" i="13"/>
  <c r="AT112" i="13" s="1"/>
  <c r="X92" i="13"/>
  <c r="AT92" i="13" s="1"/>
  <c r="X79" i="13"/>
  <c r="AT79" i="13" s="1"/>
  <c r="X66" i="13"/>
  <c r="AT66" i="13" s="1"/>
  <c r="X156" i="13"/>
  <c r="AT156" i="13" s="1"/>
  <c r="X155" i="13"/>
  <c r="AT155" i="13" s="1"/>
  <c r="X136" i="13"/>
  <c r="AT136" i="13" s="1"/>
  <c r="X111" i="13"/>
  <c r="AT111" i="13" s="1"/>
  <c r="X110" i="13"/>
  <c r="AT110" i="13" s="1"/>
  <c r="X109" i="13"/>
  <c r="AT109" i="13" s="1"/>
  <c r="X90" i="13"/>
  <c r="AT90" i="13" s="1"/>
  <c r="X89" i="13"/>
  <c r="AT89" i="13" s="1"/>
  <c r="X88" i="13"/>
  <c r="AT88" i="13" s="1"/>
  <c r="X77" i="13"/>
  <c r="AT77" i="13" s="1"/>
  <c r="X64" i="13"/>
  <c r="AT64" i="13" s="1"/>
  <c r="X63" i="13"/>
  <c r="AT63" i="13" s="1"/>
  <c r="X51" i="13"/>
  <c r="AT51" i="13" s="1"/>
  <c r="X50" i="13"/>
  <c r="AT50" i="13" s="1"/>
  <c r="X42" i="13"/>
  <c r="AT42" i="13" s="1"/>
  <c r="X41" i="13"/>
  <c r="AT41" i="13" s="1"/>
  <c r="X40" i="13"/>
  <c r="AT40" i="13" s="1"/>
  <c r="X37" i="13"/>
  <c r="AT37" i="13" s="1"/>
  <c r="X36" i="13"/>
  <c r="AT36" i="13" s="1"/>
  <c r="X27" i="13"/>
  <c r="AT27" i="13" s="1"/>
  <c r="X24" i="13"/>
  <c r="AT24" i="13" s="1"/>
  <c r="X23" i="13"/>
  <c r="AT23" i="13" s="1"/>
  <c r="X20" i="13"/>
  <c r="AT20" i="13" s="1"/>
  <c r="X19" i="13"/>
  <c r="AT19" i="13" s="1"/>
  <c r="X18" i="13"/>
  <c r="AT18" i="13" s="1"/>
  <c r="X17" i="13"/>
  <c r="AT17" i="13" s="1"/>
  <c r="A2" i="2"/>
  <c r="B17" i="2"/>
  <c r="AT207" i="13"/>
  <c r="AT206" i="13"/>
  <c r="AT204" i="13"/>
  <c r="AT203" i="13"/>
  <c r="X209" i="13"/>
  <c r="AT209" i="13" s="1"/>
  <c r="X215" i="13"/>
  <c r="AT215" i="13" s="1"/>
  <c r="U215" i="13"/>
  <c r="V215" i="13" s="1"/>
  <c r="X214" i="13"/>
  <c r="AT214" i="13" s="1"/>
  <c r="X212" i="13"/>
  <c r="AT212" i="13" s="1"/>
  <c r="X211" i="13"/>
  <c r="AT211" i="13" s="1"/>
  <c r="X210" i="13"/>
  <c r="AT210" i="13" s="1"/>
  <c r="X208" i="13"/>
  <c r="AT208" i="13" s="1"/>
  <c r="X140" i="13"/>
  <c r="AT140" i="13" s="1"/>
  <c r="X139" i="13"/>
  <c r="AT139" i="13" s="1"/>
  <c r="X122" i="13"/>
  <c r="AT122" i="13" s="1"/>
  <c r="X114" i="13"/>
  <c r="AT114" i="13" s="1"/>
  <c r="X81" i="13"/>
  <c r="AT81" i="13" s="1"/>
  <c r="X80" i="13"/>
  <c r="AT80" i="13" s="1"/>
  <c r="X68" i="13"/>
  <c r="AT68" i="13" s="1"/>
  <c r="X67" i="13"/>
  <c r="AT67" i="13" s="1"/>
  <c r="A23" i="2"/>
  <c r="A22" i="2"/>
  <c r="U211" i="13"/>
  <c r="V211" i="13" s="1"/>
  <c r="U210" i="13"/>
  <c r="U205" i="13"/>
  <c r="U173" i="13"/>
  <c r="U94" i="13"/>
  <c r="U93" i="13"/>
  <c r="O204" i="13"/>
  <c r="L237" i="13"/>
  <c r="O237" i="13" s="1"/>
  <c r="O248" i="13"/>
  <c r="U248" i="13" s="1"/>
  <c r="V248" i="13" s="1"/>
  <c r="O247" i="13"/>
  <c r="U247" i="13" s="1"/>
  <c r="V247" i="13" s="1"/>
  <c r="O246" i="13"/>
  <c r="U246" i="13" s="1"/>
  <c r="V246" i="13" s="1"/>
  <c r="O243" i="13"/>
  <c r="U243" i="13" s="1"/>
  <c r="V243" i="13" s="1"/>
  <c r="O242" i="13"/>
  <c r="U242" i="13" s="1"/>
  <c r="V242" i="13" s="1"/>
  <c r="M206" i="13"/>
  <c r="O206" i="13" s="1"/>
  <c r="D206" i="13"/>
  <c r="B206" i="13"/>
  <c r="D205" i="13"/>
  <c r="B205" i="13"/>
  <c r="O277" i="13"/>
  <c r="U277" i="13" s="1"/>
  <c r="V277" i="13" s="1"/>
  <c r="O276" i="13"/>
  <c r="U276" i="13" s="1"/>
  <c r="V276" i="13" s="1"/>
  <c r="O271" i="13"/>
  <c r="U271" i="13" s="1"/>
  <c r="V271" i="13" s="1"/>
  <c r="O264" i="13"/>
  <c r="U264" i="13" s="1"/>
  <c r="V264" i="13" s="1"/>
  <c r="O231" i="13"/>
  <c r="O239" i="13"/>
  <c r="U239" i="13" s="1"/>
  <c r="V239" i="13" s="1"/>
  <c r="O230" i="13"/>
  <c r="O229" i="13"/>
  <c r="O228" i="13"/>
  <c r="O222" i="13"/>
  <c r="U222" i="13" s="1"/>
  <c r="V222" i="13" s="1"/>
  <c r="O209" i="13"/>
  <c r="D210" i="13"/>
  <c r="B210" i="13"/>
  <c r="D209" i="13"/>
  <c r="B209" i="13"/>
  <c r="O208" i="13"/>
  <c r="D208" i="13"/>
  <c r="B208" i="13"/>
  <c r="M207" i="13"/>
  <c r="O207" i="13" s="1"/>
  <c r="D207" i="13"/>
  <c r="B207" i="13"/>
  <c r="D204" i="13"/>
  <c r="D203" i="13"/>
  <c r="B203" i="13"/>
  <c r="L170" i="13"/>
  <c r="F170" i="13"/>
  <c r="D170" i="13"/>
  <c r="B170" i="13"/>
  <c r="L169" i="13"/>
  <c r="F169" i="13"/>
  <c r="D169" i="13"/>
  <c r="B169" i="13"/>
  <c r="F168" i="13"/>
  <c r="L167" i="13"/>
  <c r="F167" i="13"/>
  <c r="D167" i="13"/>
  <c r="B167" i="13"/>
  <c r="L166" i="13"/>
  <c r="F166" i="13"/>
  <c r="D166" i="13"/>
  <c r="B166" i="13"/>
  <c r="L165" i="13"/>
  <c r="F165" i="13"/>
  <c r="F203" i="13" s="1"/>
  <c r="D165" i="13"/>
  <c r="B165" i="13"/>
  <c r="L164" i="13"/>
  <c r="F164" i="13"/>
  <c r="F205" i="13" s="1"/>
  <c r="D164" i="13"/>
  <c r="B164" i="13"/>
  <c r="L163" i="13"/>
  <c r="F163" i="13"/>
  <c r="D163" i="13"/>
  <c r="L162" i="13"/>
  <c r="F162" i="13"/>
  <c r="D162" i="13"/>
  <c r="L161" i="13"/>
  <c r="F161" i="13"/>
  <c r="D161" i="13"/>
  <c r="L160" i="13"/>
  <c r="F160" i="13"/>
  <c r="D160" i="13"/>
  <c r="M159" i="13"/>
  <c r="P159" i="13" s="1"/>
  <c r="D159" i="13"/>
  <c r="L190" i="13"/>
  <c r="F190" i="13"/>
  <c r="F189" i="13"/>
  <c r="D188" i="13"/>
  <c r="V188" i="13" s="1"/>
  <c r="L186" i="13"/>
  <c r="F186" i="13"/>
  <c r="F185" i="13"/>
  <c r="L180" i="13"/>
  <c r="D41" i="13"/>
  <c r="L157" i="13"/>
  <c r="F157" i="13"/>
  <c r="L156" i="13"/>
  <c r="F156" i="13"/>
  <c r="D156" i="13"/>
  <c r="L155" i="13"/>
  <c r="F155" i="13"/>
  <c r="D155" i="13"/>
  <c r="X154" i="13"/>
  <c r="AT154" i="13" s="1"/>
  <c r="L154" i="13"/>
  <c r="F154" i="13"/>
  <c r="D154" i="13"/>
  <c r="X153" i="13"/>
  <c r="AT153" i="13" s="1"/>
  <c r="L153" i="13"/>
  <c r="F153" i="13"/>
  <c r="D153" i="13"/>
  <c r="X152" i="13"/>
  <c r="AT152" i="13" s="1"/>
  <c r="L152" i="13"/>
  <c r="F152" i="13"/>
  <c r="D152" i="13"/>
  <c r="X151" i="13"/>
  <c r="AT151" i="13" s="1"/>
  <c r="L151" i="13"/>
  <c r="F151" i="13"/>
  <c r="D151" i="13"/>
  <c r="X150" i="13"/>
  <c r="AT150" i="13" s="1"/>
  <c r="L150" i="13"/>
  <c r="F150" i="13"/>
  <c r="D150" i="13"/>
  <c r="X149" i="13"/>
  <c r="AT149" i="13" s="1"/>
  <c r="L149" i="13"/>
  <c r="F149" i="13"/>
  <c r="D149" i="13"/>
  <c r="X148" i="13"/>
  <c r="AT148" i="13" s="1"/>
  <c r="M148" i="13"/>
  <c r="P148" i="13" s="1"/>
  <c r="D148" i="13"/>
  <c r="F146" i="13"/>
  <c r="X144" i="13"/>
  <c r="AT144" i="13" s="1"/>
  <c r="L144" i="13"/>
  <c r="F144" i="13"/>
  <c r="D144" i="13"/>
  <c r="A144" i="13"/>
  <c r="X143" i="13"/>
  <c r="AT143" i="13" s="1"/>
  <c r="L143" i="13"/>
  <c r="F143" i="13"/>
  <c r="D143" i="13"/>
  <c r="A143" i="13"/>
  <c r="X142" i="13"/>
  <c r="AT142" i="13" s="1"/>
  <c r="M142" i="13"/>
  <c r="P142" i="13" s="1"/>
  <c r="D142" i="13"/>
  <c r="L140" i="13"/>
  <c r="L139" i="13"/>
  <c r="L138" i="13"/>
  <c r="L137" i="13"/>
  <c r="L136" i="13"/>
  <c r="L135" i="13"/>
  <c r="L134" i="13"/>
  <c r="L133" i="13"/>
  <c r="L132" i="13"/>
  <c r="L131" i="13"/>
  <c r="L130" i="13"/>
  <c r="F140" i="13"/>
  <c r="F139" i="13"/>
  <c r="F138" i="13"/>
  <c r="F137" i="13"/>
  <c r="F136" i="13"/>
  <c r="F135" i="13"/>
  <c r="F134" i="13"/>
  <c r="F133" i="13"/>
  <c r="F132" i="13"/>
  <c r="F131" i="13"/>
  <c r="F130" i="13"/>
  <c r="A133" i="13"/>
  <c r="A132" i="13"/>
  <c r="A131" i="13"/>
  <c r="A130" i="13"/>
  <c r="D140" i="13"/>
  <c r="B140" i="13"/>
  <c r="D139" i="13"/>
  <c r="B139" i="13"/>
  <c r="D137" i="13"/>
  <c r="B137" i="13"/>
  <c r="D136" i="13"/>
  <c r="B136" i="13"/>
  <c r="X135" i="13"/>
  <c r="AT135" i="13" s="1"/>
  <c r="D135" i="13"/>
  <c r="B135" i="13"/>
  <c r="X134" i="13"/>
  <c r="AT134" i="13" s="1"/>
  <c r="D134" i="13"/>
  <c r="X133" i="13"/>
  <c r="AT133" i="13" s="1"/>
  <c r="D133" i="13"/>
  <c r="X132" i="13"/>
  <c r="AT132" i="13" s="1"/>
  <c r="D132" i="13"/>
  <c r="X131" i="13"/>
  <c r="AT131" i="13" s="1"/>
  <c r="D131" i="13"/>
  <c r="X130" i="13"/>
  <c r="AT130" i="13" s="1"/>
  <c r="D130" i="13"/>
  <c r="X129" i="13"/>
  <c r="AT129" i="13" s="1"/>
  <c r="M129" i="13"/>
  <c r="P129" i="13" s="1"/>
  <c r="D129" i="13"/>
  <c r="F182" i="13"/>
  <c r="D182" i="13"/>
  <c r="F181" i="13"/>
  <c r="D181" i="13"/>
  <c r="F180" i="13"/>
  <c r="M179" i="13"/>
  <c r="P179" i="13" s="1"/>
  <c r="F179" i="13"/>
  <c r="D179" i="13"/>
  <c r="M178" i="13"/>
  <c r="D178" i="13"/>
  <c r="D122" i="13"/>
  <c r="L114" i="13"/>
  <c r="L113" i="13"/>
  <c r="L112" i="13"/>
  <c r="L111" i="13"/>
  <c r="L110" i="13"/>
  <c r="L109" i="13"/>
  <c r="L108" i="13"/>
  <c r="L107" i="13"/>
  <c r="L106" i="13"/>
  <c r="L105" i="13"/>
  <c r="L104" i="13"/>
  <c r="F114" i="13"/>
  <c r="F113" i="13"/>
  <c r="F112" i="13"/>
  <c r="F111" i="13"/>
  <c r="F110" i="13"/>
  <c r="F109" i="13"/>
  <c r="F108" i="13"/>
  <c r="F107" i="13"/>
  <c r="F106" i="13"/>
  <c r="F105" i="13"/>
  <c r="F104" i="13"/>
  <c r="D114" i="13"/>
  <c r="B114" i="13"/>
  <c r="D113" i="13"/>
  <c r="B113" i="13"/>
  <c r="D111" i="13"/>
  <c r="B111" i="13"/>
  <c r="D110" i="13"/>
  <c r="B110" i="13"/>
  <c r="D109" i="13"/>
  <c r="B109" i="13"/>
  <c r="X108" i="13"/>
  <c r="AT108" i="13" s="1"/>
  <c r="D108" i="13"/>
  <c r="B108" i="13"/>
  <c r="X107" i="13"/>
  <c r="AT107" i="13" s="1"/>
  <c r="D107" i="13"/>
  <c r="X106" i="13"/>
  <c r="AT106" i="13" s="1"/>
  <c r="D106" i="13"/>
  <c r="X105" i="13"/>
  <c r="AT105" i="13" s="1"/>
  <c r="D105" i="13"/>
  <c r="X104" i="13"/>
  <c r="AT104" i="13" s="1"/>
  <c r="D104" i="13"/>
  <c r="X103" i="13"/>
  <c r="AT103" i="13" s="1"/>
  <c r="M103" i="13"/>
  <c r="P103" i="13" s="1"/>
  <c r="D103" i="13"/>
  <c r="M91" i="13"/>
  <c r="P91" i="13" s="1"/>
  <c r="M90" i="13"/>
  <c r="P90" i="13" s="1"/>
  <c r="M89" i="13"/>
  <c r="P89" i="13" s="1"/>
  <c r="M88" i="13"/>
  <c r="P88" i="13" s="1"/>
  <c r="M87" i="13"/>
  <c r="P87" i="13" s="1"/>
  <c r="M86" i="13"/>
  <c r="P86" i="13" s="1"/>
  <c r="M85" i="13"/>
  <c r="P85" i="13" s="1"/>
  <c r="M84" i="13"/>
  <c r="P84" i="13" s="1"/>
  <c r="M83" i="13"/>
  <c r="P83" i="13" s="1"/>
  <c r="X87" i="13"/>
  <c r="AT87" i="13" s="1"/>
  <c r="X86" i="13"/>
  <c r="AT86" i="13" s="1"/>
  <c r="X85" i="13"/>
  <c r="AT85" i="13" s="1"/>
  <c r="X84" i="13"/>
  <c r="AT84" i="13" s="1"/>
  <c r="X83" i="13"/>
  <c r="AT83" i="13" s="1"/>
  <c r="X76" i="13"/>
  <c r="AT76" i="13" s="1"/>
  <c r="X75" i="13"/>
  <c r="AT75" i="13" s="1"/>
  <c r="X74" i="13"/>
  <c r="AT74" i="13" s="1"/>
  <c r="X73" i="13"/>
  <c r="AT73" i="13" s="1"/>
  <c r="X72" i="13"/>
  <c r="AT72" i="13" s="1"/>
  <c r="X71" i="13"/>
  <c r="AT71" i="13" s="1"/>
  <c r="X70" i="13"/>
  <c r="AT70" i="13" s="1"/>
  <c r="X62" i="13"/>
  <c r="AT62" i="13" s="1"/>
  <c r="X61" i="13"/>
  <c r="AT61" i="13" s="1"/>
  <c r="X60" i="13"/>
  <c r="AT60" i="13" s="1"/>
  <c r="X59" i="13"/>
  <c r="AT59" i="13" s="1"/>
  <c r="X58" i="13"/>
  <c r="AT58" i="13" s="1"/>
  <c r="X57" i="13"/>
  <c r="AT57" i="13" s="1"/>
  <c r="X49" i="13"/>
  <c r="AT49" i="13" s="1"/>
  <c r="X48" i="13"/>
  <c r="AT48" i="13" s="1"/>
  <c r="X47" i="13"/>
  <c r="AT47" i="13" s="1"/>
  <c r="X46" i="13"/>
  <c r="AT46" i="13" s="1"/>
  <c r="X45" i="13"/>
  <c r="AT45" i="13" s="1"/>
  <c r="X44" i="13"/>
  <c r="AT44" i="13" s="1"/>
  <c r="X35" i="13"/>
  <c r="AT35" i="13" s="1"/>
  <c r="X34" i="13"/>
  <c r="AT34" i="13" s="1"/>
  <c r="X33" i="13"/>
  <c r="AT33" i="13" s="1"/>
  <c r="X32" i="13"/>
  <c r="AT32" i="13" s="1"/>
  <c r="X31" i="13"/>
  <c r="AT31" i="13" s="1"/>
  <c r="X30" i="13"/>
  <c r="AT30" i="13" s="1"/>
  <c r="M101" i="13"/>
  <c r="P101" i="13" s="1"/>
  <c r="D101" i="13"/>
  <c r="B101" i="13"/>
  <c r="M100" i="13"/>
  <c r="P100" i="13" s="1"/>
  <c r="D100" i="13"/>
  <c r="B100" i="13"/>
  <c r="M99" i="13"/>
  <c r="P99" i="13" s="1"/>
  <c r="D99" i="13"/>
  <c r="M98" i="13"/>
  <c r="P98" i="13" s="1"/>
  <c r="D98" i="13"/>
  <c r="M97" i="13"/>
  <c r="P97" i="13" s="1"/>
  <c r="D97" i="13"/>
  <c r="M96" i="13"/>
  <c r="P96" i="13" s="1"/>
  <c r="D96" i="13"/>
  <c r="AB242" i="13" l="1"/>
  <c r="Z242" i="13"/>
  <c r="AB222" i="13"/>
  <c r="Z222" i="13"/>
  <c r="AB243" i="13"/>
  <c r="Z243" i="13"/>
  <c r="AB246" i="13"/>
  <c r="Z246" i="13"/>
  <c r="AB247" i="13"/>
  <c r="Z247" i="13"/>
  <c r="AB248" i="13"/>
  <c r="Z248" i="13"/>
  <c r="AB239" i="13"/>
  <c r="Z239" i="13"/>
  <c r="AD194" i="13"/>
  <c r="AB194" i="13"/>
  <c r="Z194" i="13"/>
  <c r="AB277" i="13"/>
  <c r="Z277" i="13"/>
  <c r="AB276" i="13"/>
  <c r="Z276" i="13"/>
  <c r="AB264" i="13"/>
  <c r="Z264" i="13"/>
  <c r="AB271" i="13"/>
  <c r="Z271" i="13"/>
  <c r="M138" i="13"/>
  <c r="P138" i="13" s="1"/>
  <c r="M157" i="13"/>
  <c r="P157" i="13" s="1"/>
  <c r="M180" i="13"/>
  <c r="P180" i="13" s="1"/>
  <c r="B11" i="2"/>
  <c r="AB215" i="13"/>
  <c r="AF215" i="13"/>
  <c r="Z215" i="13"/>
  <c r="AH215" i="13"/>
  <c r="AJ215" i="13"/>
  <c r="AP215" i="13"/>
  <c r="AR215" i="13"/>
  <c r="AL215" i="13"/>
  <c r="AN215" i="13"/>
  <c r="AL211" i="13"/>
  <c r="AN211" i="13"/>
  <c r="AB211" i="13"/>
  <c r="AF211" i="13"/>
  <c r="AJ211" i="13"/>
  <c r="AP211" i="13"/>
  <c r="AR211" i="13"/>
  <c r="Z211" i="13"/>
  <c r="AH211" i="13"/>
  <c r="AR188" i="13"/>
  <c r="AN188" i="13"/>
  <c r="AP188" i="13"/>
  <c r="AH194" i="13"/>
  <c r="AR194" i="13"/>
  <c r="AF194" i="13"/>
  <c r="AN194" i="13"/>
  <c r="AL194" i="13"/>
  <c r="AP194" i="13"/>
  <c r="AU194" i="13"/>
  <c r="AJ194" i="13"/>
  <c r="AU215" i="13"/>
  <c r="AU211" i="13"/>
  <c r="AU264" i="13"/>
  <c r="AU271" i="13"/>
  <c r="AU248" i="13"/>
  <c r="AU276" i="13"/>
  <c r="AU277" i="13"/>
  <c r="AU239" i="13"/>
  <c r="AU242" i="13"/>
  <c r="AU222" i="13"/>
  <c r="AU243" i="13"/>
  <c r="AU247" i="13"/>
  <c r="AU246" i="13"/>
  <c r="U237" i="13"/>
  <c r="V237" i="13" s="1"/>
  <c r="U230" i="13"/>
  <c r="V230" i="13" s="1"/>
  <c r="U231" i="13"/>
  <c r="V231" i="13" s="1"/>
  <c r="U229" i="13"/>
  <c r="V229" i="13" s="1"/>
  <c r="U228" i="13"/>
  <c r="V228" i="13" s="1"/>
  <c r="N178" i="13"/>
  <c r="P178" i="13" s="1"/>
  <c r="J114" i="13"/>
  <c r="J140" i="13"/>
  <c r="J170" i="13"/>
  <c r="J169" i="13"/>
  <c r="J113" i="13"/>
  <c r="J139" i="13"/>
  <c r="M112" i="13"/>
  <c r="P112" i="13" s="1"/>
  <c r="J190" i="13"/>
  <c r="J138" i="13"/>
  <c r="M149" i="13"/>
  <c r="P149" i="13" s="1"/>
  <c r="J149" i="13"/>
  <c r="M153" i="13"/>
  <c r="P153" i="13" s="1"/>
  <c r="J153" i="13"/>
  <c r="M131" i="13"/>
  <c r="J131" i="13"/>
  <c r="M132" i="13"/>
  <c r="J132" i="13"/>
  <c r="J186" i="13"/>
  <c r="M165" i="13"/>
  <c r="J165" i="13"/>
  <c r="M133" i="13"/>
  <c r="P133" i="13" s="1"/>
  <c r="J133" i="13"/>
  <c r="M109" i="13"/>
  <c r="J109" i="13"/>
  <c r="M134" i="13"/>
  <c r="J134" i="13"/>
  <c r="M150" i="13"/>
  <c r="P150" i="13" s="1"/>
  <c r="J150" i="13"/>
  <c r="M154" i="13"/>
  <c r="P154" i="13" s="1"/>
  <c r="J154" i="13"/>
  <c r="M162" i="13"/>
  <c r="J162" i="13"/>
  <c r="M110" i="13"/>
  <c r="P110" i="13" s="1"/>
  <c r="J110" i="13"/>
  <c r="M135" i="13"/>
  <c r="J135" i="13"/>
  <c r="M111" i="13"/>
  <c r="P111" i="13" s="1"/>
  <c r="J111" i="13"/>
  <c r="M136" i="13"/>
  <c r="J136" i="13"/>
  <c r="M144" i="13"/>
  <c r="J144" i="13"/>
  <c r="J112" i="13"/>
  <c r="M137" i="13"/>
  <c r="P137" i="13" s="1"/>
  <c r="J137" i="13"/>
  <c r="M166" i="13"/>
  <c r="J166" i="13"/>
  <c r="M151" i="13"/>
  <c r="P151" i="13" s="1"/>
  <c r="J151" i="13"/>
  <c r="M155" i="13"/>
  <c r="P155" i="13" s="1"/>
  <c r="J155" i="13"/>
  <c r="M163" i="13"/>
  <c r="P163" i="13" s="1"/>
  <c r="J163" i="13"/>
  <c r="M105" i="13"/>
  <c r="J105" i="13"/>
  <c r="M130" i="13"/>
  <c r="J130" i="13"/>
  <c r="M161" i="13"/>
  <c r="J161" i="13"/>
  <c r="M106" i="13"/>
  <c r="J106" i="13"/>
  <c r="M143" i="13"/>
  <c r="J143" i="13"/>
  <c r="M107" i="13"/>
  <c r="P107" i="13" s="1"/>
  <c r="J107" i="13"/>
  <c r="M108" i="13"/>
  <c r="J108" i="13"/>
  <c r="M156" i="13"/>
  <c r="P156" i="13" s="1"/>
  <c r="J156" i="13"/>
  <c r="M167" i="13"/>
  <c r="P167" i="13" s="1"/>
  <c r="J167" i="13"/>
  <c r="M152" i="13"/>
  <c r="P152" i="13" s="1"/>
  <c r="J152" i="13"/>
  <c r="M160" i="13"/>
  <c r="J160" i="13"/>
  <c r="J157" i="13"/>
  <c r="M164" i="13"/>
  <c r="J164" i="13"/>
  <c r="M104" i="13"/>
  <c r="P104" i="13" s="1"/>
  <c r="J104" i="13"/>
  <c r="J180" i="13"/>
  <c r="U101" i="13"/>
  <c r="V101" i="13" s="1"/>
  <c r="O101" i="13"/>
  <c r="Q84" i="13"/>
  <c r="O84" i="13"/>
  <c r="Q103" i="13"/>
  <c r="O103" i="13"/>
  <c r="Q142" i="13"/>
  <c r="O142" i="13"/>
  <c r="O148" i="13"/>
  <c r="O85" i="13"/>
  <c r="O86" i="13"/>
  <c r="Q87" i="13"/>
  <c r="O87" i="13"/>
  <c r="Q96" i="13"/>
  <c r="O96" i="13"/>
  <c r="Q88" i="13"/>
  <c r="O88" i="13"/>
  <c r="R89" i="13"/>
  <c r="O89" i="13"/>
  <c r="O179" i="13"/>
  <c r="S179" i="13" s="1"/>
  <c r="U179" i="13" s="1"/>
  <c r="Q97" i="13"/>
  <c r="O97" i="13"/>
  <c r="O90" i="13"/>
  <c r="S90" i="13" s="1"/>
  <c r="U90" i="13" s="1"/>
  <c r="Q98" i="13"/>
  <c r="O98" i="13"/>
  <c r="O92" i="13"/>
  <c r="S92" i="13" s="1"/>
  <c r="O99" i="13"/>
  <c r="O221" i="13"/>
  <c r="U221" i="13" s="1"/>
  <c r="V221" i="13" s="1"/>
  <c r="O91" i="13"/>
  <c r="S91" i="13" s="1"/>
  <c r="U91" i="13"/>
  <c r="O159" i="13"/>
  <c r="O100" i="13"/>
  <c r="R100" i="13"/>
  <c r="Q129" i="13"/>
  <c r="O129" i="13"/>
  <c r="Q83" i="13"/>
  <c r="O83" i="13"/>
  <c r="O122" i="13"/>
  <c r="S122" i="13" s="1"/>
  <c r="F13" i="2"/>
  <c r="B16" i="2"/>
  <c r="V173" i="13"/>
  <c r="X65" i="13"/>
  <c r="AT65" i="13" s="1"/>
  <c r="X91" i="13"/>
  <c r="AT91" i="13" s="1"/>
  <c r="X53" i="13"/>
  <c r="AT53" i="13" s="1"/>
  <c r="X138" i="13"/>
  <c r="AT138" i="13" s="1"/>
  <c r="X39" i="13"/>
  <c r="AT39" i="13" s="1"/>
  <c r="U206" i="13"/>
  <c r="V206" i="13" s="1"/>
  <c r="AN206" i="13" s="1"/>
  <c r="X113" i="13"/>
  <c r="AT113" i="13" s="1"/>
  <c r="X94" i="13"/>
  <c r="AT94" i="13" s="1"/>
  <c r="X55" i="13"/>
  <c r="AT55" i="13" s="1"/>
  <c r="X93" i="13"/>
  <c r="AT93" i="13" s="1"/>
  <c r="X157" i="13"/>
  <c r="AT157" i="13" s="1"/>
  <c r="X54" i="13"/>
  <c r="AT54" i="13" s="1"/>
  <c r="X26" i="13"/>
  <c r="AT26" i="13" s="1"/>
  <c r="U209" i="13"/>
  <c r="V209" i="13" s="1"/>
  <c r="AH209" i="13" s="1"/>
  <c r="U212" i="13"/>
  <c r="V212" i="13" s="1"/>
  <c r="U214" i="13"/>
  <c r="V214" i="13" s="1"/>
  <c r="U208" i="13"/>
  <c r="V208" i="13" s="1"/>
  <c r="F206" i="13"/>
  <c r="V205" i="13"/>
  <c r="AU255" i="13"/>
  <c r="AU250" i="13"/>
  <c r="AU252" i="13"/>
  <c r="AU253" i="13"/>
  <c r="AU251" i="13"/>
  <c r="F207" i="13"/>
  <c r="V210" i="13"/>
  <c r="F204" i="13"/>
  <c r="U204" i="13"/>
  <c r="U207" i="13"/>
  <c r="V207" i="13" s="1"/>
  <c r="M203" i="13"/>
  <c r="O203" i="13" s="1"/>
  <c r="Q159" i="13"/>
  <c r="L181" i="13"/>
  <c r="U41" i="13"/>
  <c r="V41" i="13" s="1"/>
  <c r="Q148" i="13"/>
  <c r="X28" i="13"/>
  <c r="AT28" i="13" s="1"/>
  <c r="Q99" i="13"/>
  <c r="Q86" i="13"/>
  <c r="Q85" i="13"/>
  <c r="X21" i="13"/>
  <c r="AT21" i="13" s="1"/>
  <c r="X22" i="13"/>
  <c r="AT22" i="13" s="1"/>
  <c r="X25" i="13"/>
  <c r="AT25" i="13" s="1"/>
  <c r="AB221" i="13" l="1"/>
  <c r="Z221" i="13"/>
  <c r="AD173" i="13"/>
  <c r="AB173" i="13"/>
  <c r="Z173" i="13"/>
  <c r="AD41" i="13"/>
  <c r="AB41" i="13"/>
  <c r="Z41" i="13"/>
  <c r="S89" i="13"/>
  <c r="U89" i="13" s="1"/>
  <c r="AR173" i="13"/>
  <c r="AH173" i="13"/>
  <c r="AF173" i="13"/>
  <c r="AB229" i="13"/>
  <c r="Z229" i="13"/>
  <c r="AB231" i="13"/>
  <c r="Z231" i="13"/>
  <c r="AB228" i="13"/>
  <c r="Z228" i="13"/>
  <c r="AB230" i="13"/>
  <c r="Z230" i="13"/>
  <c r="AB237" i="13"/>
  <c r="Z237" i="13"/>
  <c r="AU41" i="13"/>
  <c r="AR210" i="13"/>
  <c r="Z210" i="13"/>
  <c r="AB210" i="13"/>
  <c r="AL210" i="13"/>
  <c r="AP210" i="13"/>
  <c r="AF210" i="13"/>
  <c r="AN210" i="13"/>
  <c r="AH210" i="13"/>
  <c r="AJ210" i="13"/>
  <c r="AH205" i="13"/>
  <c r="AF205" i="13"/>
  <c r="AL205" i="13"/>
  <c r="AN205" i="13"/>
  <c r="AJ205" i="13"/>
  <c r="AP205" i="13"/>
  <c r="AB205" i="13"/>
  <c r="AR205" i="13"/>
  <c r="Z205" i="13"/>
  <c r="AP208" i="13"/>
  <c r="AR208" i="13"/>
  <c r="Z208" i="13"/>
  <c r="AB208" i="13"/>
  <c r="AF208" i="13"/>
  <c r="AH208" i="13"/>
  <c r="AJ208" i="13"/>
  <c r="AL208" i="13"/>
  <c r="AN208" i="13"/>
  <c r="AU214" i="13"/>
  <c r="AJ214" i="13"/>
  <c r="AF214" i="13"/>
  <c r="AH214" i="13"/>
  <c r="AB214" i="13"/>
  <c r="AL214" i="13"/>
  <c r="AN214" i="13"/>
  <c r="AP214" i="13"/>
  <c r="Z214" i="13"/>
  <c r="AR214" i="13"/>
  <c r="AU212" i="13"/>
  <c r="AH212" i="13"/>
  <c r="AJ212" i="13"/>
  <c r="AP212" i="13"/>
  <c r="AR212" i="13"/>
  <c r="AF212" i="13"/>
  <c r="AL212" i="13"/>
  <c r="AN212" i="13"/>
  <c r="Z212" i="13"/>
  <c r="AB212" i="13"/>
  <c r="AU210" i="13"/>
  <c r="AJ173" i="13"/>
  <c r="AH41" i="13"/>
  <c r="AF41" i="13"/>
  <c r="AL41" i="13"/>
  <c r="AJ41" i="13"/>
  <c r="AR41" i="13"/>
  <c r="AP41" i="13"/>
  <c r="AN41" i="13"/>
  <c r="AU229" i="13"/>
  <c r="AU231" i="13"/>
  <c r="AU221" i="13"/>
  <c r="AU228" i="13"/>
  <c r="AU230" i="13"/>
  <c r="AU237" i="13"/>
  <c r="O186" i="13"/>
  <c r="S186" i="13" s="1"/>
  <c r="O178" i="13"/>
  <c r="U178" i="13" s="1"/>
  <c r="O112" i="13"/>
  <c r="S112" i="13" s="1"/>
  <c r="O140" i="13"/>
  <c r="S140" i="13" s="1"/>
  <c r="O114" i="13"/>
  <c r="S114" i="13" s="1"/>
  <c r="U170" i="13"/>
  <c r="V170" i="13" s="1"/>
  <c r="O170" i="13"/>
  <c r="O113" i="13"/>
  <c r="S113" i="13" s="1"/>
  <c r="U169" i="13"/>
  <c r="V169" i="13" s="1"/>
  <c r="O169" i="13"/>
  <c r="O139" i="13"/>
  <c r="S139" i="13" s="1"/>
  <c r="J181" i="13"/>
  <c r="O190" i="13"/>
  <c r="O138" i="13"/>
  <c r="S138" i="13" s="1"/>
  <c r="O151" i="13"/>
  <c r="Q151" i="13"/>
  <c r="R151" i="13" s="1"/>
  <c r="U151" i="13" s="1"/>
  <c r="B151" i="13" s="1"/>
  <c r="O107" i="13"/>
  <c r="Q107" i="13"/>
  <c r="R107" i="13" s="1"/>
  <c r="Q132" i="13"/>
  <c r="P132" i="13"/>
  <c r="Q164" i="13"/>
  <c r="P164" i="13"/>
  <c r="Q106" i="13"/>
  <c r="P106" i="13"/>
  <c r="O137" i="13"/>
  <c r="S137" i="13" s="1"/>
  <c r="O152" i="13"/>
  <c r="O130" i="13"/>
  <c r="P130" i="13"/>
  <c r="O144" i="13"/>
  <c r="P144" i="13"/>
  <c r="O134" i="13"/>
  <c r="P134" i="13"/>
  <c r="O149" i="13"/>
  <c r="U167" i="13"/>
  <c r="V167" i="13" s="1"/>
  <c r="O105" i="13"/>
  <c r="P105" i="13"/>
  <c r="O136" i="13"/>
  <c r="P136" i="13"/>
  <c r="O109" i="13"/>
  <c r="P109" i="13"/>
  <c r="R109" i="13" s="1"/>
  <c r="O143" i="13"/>
  <c r="P143" i="13"/>
  <c r="Q162" i="13"/>
  <c r="P162" i="13"/>
  <c r="Q160" i="13"/>
  <c r="P160" i="13"/>
  <c r="Q161" i="13"/>
  <c r="P161" i="13"/>
  <c r="O153" i="13"/>
  <c r="O111" i="13"/>
  <c r="S111" i="13" s="1"/>
  <c r="O155" i="13"/>
  <c r="U155" i="13"/>
  <c r="O135" i="13"/>
  <c r="P135" i="13"/>
  <c r="R135" i="13" s="1"/>
  <c r="P165" i="13"/>
  <c r="R165" i="13" s="1"/>
  <c r="P166" i="13"/>
  <c r="U166" i="13" s="1"/>
  <c r="V166" i="13" s="1"/>
  <c r="Q104" i="13"/>
  <c r="R104" i="13" s="1"/>
  <c r="O131" i="13"/>
  <c r="P131" i="13"/>
  <c r="O156" i="13"/>
  <c r="U156" i="13"/>
  <c r="O108" i="13"/>
  <c r="P108" i="13"/>
  <c r="R97" i="13"/>
  <c r="U97" i="13" s="1"/>
  <c r="O166" i="13"/>
  <c r="Q144" i="13"/>
  <c r="O106" i="13"/>
  <c r="Q152" i="13"/>
  <c r="Q153" i="13"/>
  <c r="Q150" i="13"/>
  <c r="R150" i="13" s="1"/>
  <c r="O157" i="13"/>
  <c r="Q149" i="13"/>
  <c r="O132" i="13"/>
  <c r="O162" i="13"/>
  <c r="R84" i="13"/>
  <c r="S84" i="13" s="1"/>
  <c r="O154" i="13"/>
  <c r="O160" i="13"/>
  <c r="Q134" i="13"/>
  <c r="O161" i="13"/>
  <c r="O150" i="13"/>
  <c r="O167" i="13"/>
  <c r="Q131" i="13"/>
  <c r="R159" i="13"/>
  <c r="U159" i="13" s="1"/>
  <c r="Q130" i="13"/>
  <c r="Q163" i="13"/>
  <c r="R163" i="13" s="1"/>
  <c r="Q133" i="13"/>
  <c r="R133" i="13" s="1"/>
  <c r="R96" i="13"/>
  <c r="U96" i="13" s="1"/>
  <c r="R88" i="13"/>
  <c r="S88" i="13" s="1"/>
  <c r="O133" i="13"/>
  <c r="O110" i="13"/>
  <c r="S110" i="13" s="1"/>
  <c r="T110" i="13" s="1"/>
  <c r="Q105" i="13"/>
  <c r="Q108" i="13"/>
  <c r="O164" i="13"/>
  <c r="R98" i="13"/>
  <c r="R87" i="13"/>
  <c r="S87" i="13" s="1"/>
  <c r="O163" i="13"/>
  <c r="O165" i="13"/>
  <c r="Q143" i="13"/>
  <c r="O180" i="13"/>
  <c r="S180" i="13" s="1"/>
  <c r="O104" i="13"/>
  <c r="R83" i="13"/>
  <c r="R86" i="13"/>
  <c r="S86" i="13" s="1"/>
  <c r="R99" i="13"/>
  <c r="R142" i="13"/>
  <c r="S142" i="13" s="1"/>
  <c r="U142" i="13" s="1"/>
  <c r="R85" i="13"/>
  <c r="S85" i="13" s="1"/>
  <c r="AL173" i="13"/>
  <c r="U92" i="13"/>
  <c r="U122" i="13"/>
  <c r="G13" i="2"/>
  <c r="AU208" i="13"/>
  <c r="V172" i="13"/>
  <c r="V176" i="13"/>
  <c r="AN173" i="13"/>
  <c r="AP173" i="13"/>
  <c r="B155" i="13"/>
  <c r="V204" i="13"/>
  <c r="AH206" i="13"/>
  <c r="AR206" i="13"/>
  <c r="AU206" i="13"/>
  <c r="AP206" i="13"/>
  <c r="AB206" i="13"/>
  <c r="AF206" i="13"/>
  <c r="AJ206" i="13"/>
  <c r="AL206" i="13"/>
  <c r="Z206" i="13"/>
  <c r="AU205" i="13"/>
  <c r="Z209" i="13"/>
  <c r="AR209" i="13"/>
  <c r="AJ209" i="13"/>
  <c r="AP209" i="13"/>
  <c r="AL209" i="13"/>
  <c r="AN209" i="13"/>
  <c r="AB209" i="13"/>
  <c r="AU209" i="13"/>
  <c r="AF209" i="13"/>
  <c r="U203" i="13"/>
  <c r="V203" i="13" s="1"/>
  <c r="AN207" i="13"/>
  <c r="AF207" i="13"/>
  <c r="AU207" i="13"/>
  <c r="AL207" i="13"/>
  <c r="AJ207" i="13"/>
  <c r="AH207" i="13"/>
  <c r="Z207" i="13"/>
  <c r="AR207" i="13"/>
  <c r="AP207" i="13"/>
  <c r="AB207" i="13"/>
  <c r="AU188" i="13"/>
  <c r="U168" i="13"/>
  <c r="AU173" i="13"/>
  <c r="L182" i="13"/>
  <c r="R148" i="13"/>
  <c r="U154" i="13"/>
  <c r="R129" i="13"/>
  <c r="S129" i="13" s="1"/>
  <c r="U100" i="13"/>
  <c r="V100" i="13" s="1"/>
  <c r="AB100" i="13" s="1"/>
  <c r="R103" i="13"/>
  <c r="S103" i="13" s="1"/>
  <c r="AB101" i="13"/>
  <c r="Z101" i="13"/>
  <c r="AU101" i="13"/>
  <c r="AR101" i="13"/>
  <c r="AP101" i="13"/>
  <c r="AN101" i="13"/>
  <c r="AL101" i="13"/>
  <c r="AJ101" i="13"/>
  <c r="AH101" i="13"/>
  <c r="AF101" i="13"/>
  <c r="AD176" i="13" l="1"/>
  <c r="AB176" i="13"/>
  <c r="Z176" i="13"/>
  <c r="AB169" i="13"/>
  <c r="AD169" i="13"/>
  <c r="Z169" i="13"/>
  <c r="S190" i="13"/>
  <c r="U190" i="13" s="1"/>
  <c r="AD170" i="13"/>
  <c r="AB170" i="13"/>
  <c r="Z170" i="13"/>
  <c r="S133" i="13"/>
  <c r="S107" i="13"/>
  <c r="U107" i="13" s="1"/>
  <c r="S135" i="13"/>
  <c r="U135" i="13" s="1"/>
  <c r="V135" i="13" s="1"/>
  <c r="AN135" i="13" s="1"/>
  <c r="S136" i="13"/>
  <c r="U136" i="13" s="1"/>
  <c r="V136" i="13" s="1"/>
  <c r="AB136" i="13" s="1"/>
  <c r="S83" i="13"/>
  <c r="U83" i="13" s="1"/>
  <c r="B83" i="13" s="1"/>
  <c r="S109" i="13"/>
  <c r="U109" i="13" s="1"/>
  <c r="V109" i="13" s="1"/>
  <c r="AL109" i="13" s="1"/>
  <c r="S104" i="13"/>
  <c r="T104" i="13" s="1"/>
  <c r="AH176" i="13"/>
  <c r="AR176" i="13"/>
  <c r="AF176" i="13"/>
  <c r="AB172" i="13"/>
  <c r="AD172" i="13"/>
  <c r="U186" i="13"/>
  <c r="B186" i="13"/>
  <c r="B180" i="13"/>
  <c r="U180" i="13"/>
  <c r="U157" i="13"/>
  <c r="V157" i="13" s="1"/>
  <c r="U112" i="13"/>
  <c r="V112" i="13" s="1"/>
  <c r="AH169" i="13"/>
  <c r="AJ169" i="13"/>
  <c r="AF169" i="13"/>
  <c r="AJ172" i="13"/>
  <c r="AH172" i="13"/>
  <c r="AF172" i="13"/>
  <c r="Z172" i="13"/>
  <c r="AJ176" i="13"/>
  <c r="AJ170" i="13"/>
  <c r="AH170" i="13"/>
  <c r="AF170" i="13"/>
  <c r="AJ189" i="13"/>
  <c r="AR169" i="13"/>
  <c r="AN169" i="13"/>
  <c r="AP169" i="13"/>
  <c r="AL169" i="13"/>
  <c r="AU169" i="13"/>
  <c r="AU189" i="13"/>
  <c r="AL170" i="13"/>
  <c r="AR170" i="13"/>
  <c r="AP170" i="13"/>
  <c r="AN170" i="13"/>
  <c r="AU170" i="13"/>
  <c r="U140" i="13"/>
  <c r="V140" i="13" s="1"/>
  <c r="U114" i="13"/>
  <c r="V114" i="13" s="1"/>
  <c r="U113" i="13"/>
  <c r="V113" i="13" s="1"/>
  <c r="U139" i="13"/>
  <c r="V139" i="13" s="1"/>
  <c r="J182" i="13"/>
  <c r="O181" i="13"/>
  <c r="S181" i="13" s="1"/>
  <c r="B190" i="13"/>
  <c r="U138" i="13"/>
  <c r="R164" i="13"/>
  <c r="U164" i="13" s="1"/>
  <c r="V164" i="13" s="1"/>
  <c r="AJ164" i="13" s="1"/>
  <c r="R149" i="13"/>
  <c r="U149" i="13" s="1"/>
  <c r="B149" i="13" s="1"/>
  <c r="V149" i="13" s="1"/>
  <c r="R152" i="13"/>
  <c r="U152" i="13" s="1"/>
  <c r="B152" i="13" s="1"/>
  <c r="R106" i="13"/>
  <c r="S106" i="13" s="1"/>
  <c r="R132" i="13"/>
  <c r="S132" i="13" s="1"/>
  <c r="R162" i="13"/>
  <c r="U162" i="13" s="1"/>
  <c r="B162" i="13" s="1"/>
  <c r="V162" i="13" s="1"/>
  <c r="R160" i="13"/>
  <c r="U160" i="13" s="1"/>
  <c r="B160" i="13" s="1"/>
  <c r="V160" i="13" s="1"/>
  <c r="Z160" i="13" s="1"/>
  <c r="R161" i="13"/>
  <c r="U161" i="13" s="1"/>
  <c r="B161" i="13" s="1"/>
  <c r="V161" i="13" s="1"/>
  <c r="R144" i="13"/>
  <c r="S144" i="13" s="1"/>
  <c r="T144" i="13" s="1"/>
  <c r="AU166" i="13"/>
  <c r="AF166" i="13"/>
  <c r="AR166" i="13"/>
  <c r="AP166" i="13"/>
  <c r="AH166" i="13"/>
  <c r="AN166" i="13"/>
  <c r="AL166" i="13"/>
  <c r="AB166" i="13"/>
  <c r="AJ166" i="13"/>
  <c r="Z166" i="13"/>
  <c r="AF167" i="13"/>
  <c r="Z167" i="13"/>
  <c r="AP167" i="13"/>
  <c r="AL167" i="13"/>
  <c r="AU167" i="13"/>
  <c r="AR167" i="13"/>
  <c r="AJ167" i="13"/>
  <c r="AN167" i="13"/>
  <c r="AH167" i="13"/>
  <c r="U165" i="13"/>
  <c r="V165" i="13" s="1"/>
  <c r="AH165" i="13" s="1"/>
  <c r="R153" i="13"/>
  <c r="U153" i="13" s="1"/>
  <c r="R105" i="13"/>
  <c r="R131" i="13"/>
  <c r="R130" i="13"/>
  <c r="S130" i="13" s="1"/>
  <c r="U111" i="13"/>
  <c r="V111" i="13" s="1"/>
  <c r="AL111" i="13" s="1"/>
  <c r="R134" i="13"/>
  <c r="S134" i="13" s="1"/>
  <c r="U137" i="13"/>
  <c r="V137" i="13" s="1"/>
  <c r="AN137" i="13" s="1"/>
  <c r="U84" i="13"/>
  <c r="B84" i="13" s="1"/>
  <c r="R143" i="13"/>
  <c r="S143" i="13" s="1"/>
  <c r="U143" i="13" s="1"/>
  <c r="B143" i="13" s="1"/>
  <c r="V143" i="13" s="1"/>
  <c r="R108" i="13"/>
  <c r="S108" i="13" s="1"/>
  <c r="V155" i="13"/>
  <c r="U85" i="13"/>
  <c r="B85" i="13" s="1"/>
  <c r="AL172" i="13"/>
  <c r="AL176" i="13"/>
  <c r="H13" i="2"/>
  <c r="AU172" i="13"/>
  <c r="AN172" i="13"/>
  <c r="AP172" i="13"/>
  <c r="AR172" i="13"/>
  <c r="AN176" i="13"/>
  <c r="AP176" i="13"/>
  <c r="AU176" i="13"/>
  <c r="B156" i="13"/>
  <c r="V156" i="13" s="1"/>
  <c r="B153" i="13"/>
  <c r="B154" i="13"/>
  <c r="V154" i="13" s="1"/>
  <c r="AF204" i="13"/>
  <c r="AB204" i="13"/>
  <c r="AJ204" i="13"/>
  <c r="AH204" i="13"/>
  <c r="AU204" i="13"/>
  <c r="AP204" i="13"/>
  <c r="AN204" i="13"/>
  <c r="AL204" i="13"/>
  <c r="AR204" i="13"/>
  <c r="V168" i="13"/>
  <c r="AR203" i="13"/>
  <c r="AJ203" i="13"/>
  <c r="AH203" i="13"/>
  <c r="Z203" i="13"/>
  <c r="AP203" i="13"/>
  <c r="AB203" i="13"/>
  <c r="AN203" i="13"/>
  <c r="AL203" i="13"/>
  <c r="AF203" i="13"/>
  <c r="AU203" i="13"/>
  <c r="U163" i="13"/>
  <c r="B163" i="13" s="1"/>
  <c r="V163" i="13" s="1"/>
  <c r="B159" i="13"/>
  <c r="V159" i="13" s="1"/>
  <c r="U110" i="13"/>
  <c r="V110" i="13" s="1"/>
  <c r="V184" i="13"/>
  <c r="AD184" i="13" s="1"/>
  <c r="U103" i="13"/>
  <c r="B103" i="13" s="1"/>
  <c r="V103" i="13" s="1"/>
  <c r="U133" i="13"/>
  <c r="B133" i="13" s="1"/>
  <c r="V133" i="13" s="1"/>
  <c r="T142" i="13"/>
  <c r="B142" i="13"/>
  <c r="V142" i="13" s="1"/>
  <c r="U150" i="13"/>
  <c r="V151" i="13"/>
  <c r="U148" i="13"/>
  <c r="B148" i="13" s="1"/>
  <c r="Z100" i="13"/>
  <c r="B179" i="13"/>
  <c r="V179" i="13" s="1"/>
  <c r="U129" i="13"/>
  <c r="B178" i="13"/>
  <c r="V178" i="13" s="1"/>
  <c r="U88" i="13"/>
  <c r="U98" i="13"/>
  <c r="U99" i="13"/>
  <c r="U87" i="13"/>
  <c r="B87" i="13" s="1"/>
  <c r="U86" i="13"/>
  <c r="B86" i="13" s="1"/>
  <c r="B96" i="13"/>
  <c r="V96" i="13" s="1"/>
  <c r="Z96" i="13" s="1"/>
  <c r="AL100" i="13"/>
  <c r="AF100" i="13"/>
  <c r="AH100" i="13"/>
  <c r="AN100" i="13"/>
  <c r="AU100" i="13"/>
  <c r="AJ100" i="13"/>
  <c r="AR100" i="13"/>
  <c r="AP100" i="13"/>
  <c r="T107" i="13" l="1"/>
  <c r="Z157" i="13"/>
  <c r="AD139" i="13"/>
  <c r="AB139" i="13"/>
  <c r="Z139" i="13"/>
  <c r="AD113" i="13"/>
  <c r="AB113" i="13"/>
  <c r="Z113" i="13"/>
  <c r="AB114" i="13"/>
  <c r="AD114" i="13"/>
  <c r="Z114" i="13"/>
  <c r="AD140" i="13"/>
  <c r="AB140" i="13"/>
  <c r="Z140" i="13"/>
  <c r="Z168" i="13"/>
  <c r="AD112" i="13"/>
  <c r="AB112" i="13"/>
  <c r="Z112" i="13"/>
  <c r="V190" i="13"/>
  <c r="AH135" i="13"/>
  <c r="Z135" i="13"/>
  <c r="AU135" i="13"/>
  <c r="AP135" i="13"/>
  <c r="U132" i="13"/>
  <c r="B132" i="13" s="1"/>
  <c r="V132" i="13" s="1"/>
  <c r="AF132" i="13" s="1"/>
  <c r="AB135" i="13"/>
  <c r="U134" i="13"/>
  <c r="AJ135" i="13"/>
  <c r="AF135" i="13"/>
  <c r="AR135" i="13"/>
  <c r="S131" i="13"/>
  <c r="U131" i="13" s="1"/>
  <c r="B131" i="13" s="1"/>
  <c r="V131" i="13" s="1"/>
  <c r="AL135" i="13"/>
  <c r="U130" i="13"/>
  <c r="B130" i="13" s="1"/>
  <c r="V130" i="13" s="1"/>
  <c r="AH130" i="13" s="1"/>
  <c r="S105" i="13"/>
  <c r="T105" i="13" s="1"/>
  <c r="V186" i="13"/>
  <c r="AB184" i="13"/>
  <c r="Z184" i="13"/>
  <c r="AN184" i="13"/>
  <c r="AP184" i="13"/>
  <c r="AR184" i="13"/>
  <c r="AF178" i="13"/>
  <c r="AJ178" i="13"/>
  <c r="AN178" i="13"/>
  <c r="AL178" i="13"/>
  <c r="AP178" i="13"/>
  <c r="AR178" i="13"/>
  <c r="AH178" i="13"/>
  <c r="AF179" i="13"/>
  <c r="AR179" i="13"/>
  <c r="AL179" i="13"/>
  <c r="AN179" i="13"/>
  <c r="AP179" i="13"/>
  <c r="AJ179" i="13"/>
  <c r="AH179" i="13"/>
  <c r="AL112" i="13"/>
  <c r="AP112" i="13"/>
  <c r="AR112" i="13"/>
  <c r="AH112" i="13"/>
  <c r="AN112" i="13"/>
  <c r="AF112" i="13"/>
  <c r="AN157" i="13"/>
  <c r="AL157" i="13"/>
  <c r="AP157" i="13"/>
  <c r="AH157" i="13"/>
  <c r="AR157" i="13"/>
  <c r="AF157" i="13"/>
  <c r="AN168" i="13"/>
  <c r="AP168" i="13"/>
  <c r="AR168" i="13"/>
  <c r="AF168" i="13"/>
  <c r="AH168" i="13"/>
  <c r="AL168" i="13"/>
  <c r="B181" i="13"/>
  <c r="U181" i="13"/>
  <c r="AB179" i="13"/>
  <c r="Z179" i="13"/>
  <c r="V180" i="13"/>
  <c r="AU157" i="13"/>
  <c r="AJ157" i="13"/>
  <c r="AJ168" i="13"/>
  <c r="AJ112" i="13"/>
  <c r="AJ139" i="13"/>
  <c r="AH139" i="13"/>
  <c r="AF139" i="13"/>
  <c r="AR139" i="13"/>
  <c r="AP139" i="13"/>
  <c r="AN139" i="13"/>
  <c r="AL139" i="13"/>
  <c r="AU139" i="13"/>
  <c r="AP113" i="13"/>
  <c r="AR113" i="13"/>
  <c r="AN113" i="13"/>
  <c r="AL113" i="13"/>
  <c r="AJ113" i="13"/>
  <c r="AH113" i="13"/>
  <c r="AF113" i="13"/>
  <c r="AU113" i="13"/>
  <c r="AP114" i="13"/>
  <c r="AN114" i="13"/>
  <c r="AH114" i="13"/>
  <c r="AF114" i="13"/>
  <c r="AL114" i="13"/>
  <c r="AJ114" i="13"/>
  <c r="AR114" i="13"/>
  <c r="AU114" i="13"/>
  <c r="AU112" i="13"/>
  <c r="AU168" i="13"/>
  <c r="AH140" i="13"/>
  <c r="AF140" i="13"/>
  <c r="AP140" i="13"/>
  <c r="AN140" i="13"/>
  <c r="AR140" i="13"/>
  <c r="AL140" i="13"/>
  <c r="AJ140" i="13"/>
  <c r="AU140" i="13"/>
  <c r="AR110" i="13"/>
  <c r="AB110" i="13"/>
  <c r="AP155" i="13"/>
  <c r="AB155" i="13"/>
  <c r="AP164" i="13"/>
  <c r="AR164" i="13"/>
  <c r="AL164" i="13"/>
  <c r="AU164" i="13"/>
  <c r="O182" i="13"/>
  <c r="S182" i="13" s="1"/>
  <c r="AN164" i="13"/>
  <c r="AB164" i="13"/>
  <c r="T106" i="13"/>
  <c r="V138" i="13"/>
  <c r="Z164" i="13"/>
  <c r="AF164" i="13"/>
  <c r="AH164" i="13"/>
  <c r="U106" i="13"/>
  <c r="B106" i="13" s="1"/>
  <c r="V106" i="13" s="1"/>
  <c r="AP160" i="13"/>
  <c r="AR160" i="13"/>
  <c r="AU160" i="13"/>
  <c r="AL160" i="13"/>
  <c r="AN160" i="13"/>
  <c r="AJ160" i="13"/>
  <c r="U144" i="13"/>
  <c r="B144" i="13" s="1"/>
  <c r="V144" i="13" s="1"/>
  <c r="AR144" i="13" s="1"/>
  <c r="AR165" i="13"/>
  <c r="AP165" i="13"/>
  <c r="AN165" i="13"/>
  <c r="AF165" i="13"/>
  <c r="AU165" i="13"/>
  <c r="AL165" i="13"/>
  <c r="AJ165" i="13"/>
  <c r="AF111" i="13"/>
  <c r="AB165" i="13"/>
  <c r="Z165" i="13"/>
  <c r="AH111" i="13"/>
  <c r="V153" i="13"/>
  <c r="AB153" i="13" s="1"/>
  <c r="AP111" i="13"/>
  <c r="AR111" i="13"/>
  <c r="AN111" i="13"/>
  <c r="AU111" i="13"/>
  <c r="AL137" i="13"/>
  <c r="Z111" i="13"/>
  <c r="Z137" i="13"/>
  <c r="AR137" i="13"/>
  <c r="AB137" i="13"/>
  <c r="AP137" i="13"/>
  <c r="AF137" i="13"/>
  <c r="AB111" i="13"/>
  <c r="AJ137" i="13"/>
  <c r="AU137" i="13"/>
  <c r="AH137" i="13"/>
  <c r="AJ111" i="13"/>
  <c r="Z155" i="13"/>
  <c r="AN155" i="13"/>
  <c r="AR109" i="13"/>
  <c r="AU155" i="13"/>
  <c r="AF155" i="13"/>
  <c r="AU136" i="13"/>
  <c r="AH155" i="13"/>
  <c r="AR136" i="13"/>
  <c r="AN109" i="13"/>
  <c r="T143" i="13"/>
  <c r="AJ155" i="13"/>
  <c r="AB109" i="13"/>
  <c r="T108" i="13"/>
  <c r="AR155" i="13"/>
  <c r="U108" i="13"/>
  <c r="V108" i="13" s="1"/>
  <c r="AB108" i="13" s="1"/>
  <c r="AP109" i="13"/>
  <c r="AJ109" i="13"/>
  <c r="T109" i="13"/>
  <c r="AH109" i="13"/>
  <c r="AU109" i="13"/>
  <c r="Z109" i="13"/>
  <c r="Z136" i="13"/>
  <c r="AL155" i="13"/>
  <c r="AF136" i="13"/>
  <c r="AH136" i="13"/>
  <c r="AF109" i="13"/>
  <c r="AJ136" i="13"/>
  <c r="AL136" i="13"/>
  <c r="AN136" i="13"/>
  <c r="AP136" i="13"/>
  <c r="I13" i="2"/>
  <c r="AB159" i="13"/>
  <c r="Z159" i="13"/>
  <c r="AB161" i="13"/>
  <c r="Z161" i="13"/>
  <c r="AB162" i="13"/>
  <c r="Z162" i="13"/>
  <c r="AB163" i="13"/>
  <c r="Z163" i="13"/>
  <c r="AB156" i="13"/>
  <c r="Z156" i="13"/>
  <c r="B146" i="13"/>
  <c r="Z146" i="13" s="1"/>
  <c r="AL156" i="13"/>
  <c r="AH156" i="13"/>
  <c r="AF156" i="13"/>
  <c r="AJ156" i="13"/>
  <c r="AB154" i="13"/>
  <c r="AN156" i="13"/>
  <c r="AU156" i="13"/>
  <c r="AP156" i="13"/>
  <c r="AR156" i="13"/>
  <c r="AF154" i="13"/>
  <c r="AN154" i="13"/>
  <c r="AJ154" i="13"/>
  <c r="AP154" i="13"/>
  <c r="AL154" i="13"/>
  <c r="AR154" i="13"/>
  <c r="Z154" i="13"/>
  <c r="B150" i="13"/>
  <c r="V150" i="13" s="1"/>
  <c r="AU154" i="13"/>
  <c r="AH154" i="13"/>
  <c r="B122" i="13"/>
  <c r="V122" i="13" s="1"/>
  <c r="AJ110" i="13"/>
  <c r="AL110" i="13"/>
  <c r="AU110" i="13"/>
  <c r="AL159" i="13"/>
  <c r="AJ159" i="13"/>
  <c r="AH159" i="13"/>
  <c r="AU159" i="13"/>
  <c r="AR159" i="13"/>
  <c r="AP159" i="13"/>
  <c r="AN159" i="13"/>
  <c r="AF159" i="13"/>
  <c r="AF162" i="13"/>
  <c r="AR162" i="13"/>
  <c r="AU162" i="13"/>
  <c r="AP162" i="13"/>
  <c r="AN162" i="13"/>
  <c r="AL162" i="13"/>
  <c r="AJ162" i="13"/>
  <c r="AH162" i="13"/>
  <c r="AJ161" i="13"/>
  <c r="AU161" i="13"/>
  <c r="AR161" i="13"/>
  <c r="AP161" i="13"/>
  <c r="AN161" i="13"/>
  <c r="AL161" i="13"/>
  <c r="AH161" i="13"/>
  <c r="AF161" i="13"/>
  <c r="AU163" i="13"/>
  <c r="AR163" i="13"/>
  <c r="AP163" i="13"/>
  <c r="AF163" i="13"/>
  <c r="AN163" i="13"/>
  <c r="AL163" i="13"/>
  <c r="AJ163" i="13"/>
  <c r="AH163" i="13"/>
  <c r="AF110" i="13"/>
  <c r="AH110" i="13"/>
  <c r="AN110" i="13"/>
  <c r="AP110" i="13"/>
  <c r="Z110" i="13"/>
  <c r="AU143" i="13"/>
  <c r="T103" i="13"/>
  <c r="AP143" i="13"/>
  <c r="AF143" i="13"/>
  <c r="AB143" i="13"/>
  <c r="AH143" i="13"/>
  <c r="AR143" i="13"/>
  <c r="AJ143" i="13"/>
  <c r="AL143" i="13"/>
  <c r="AN143" i="13"/>
  <c r="Z143" i="13"/>
  <c r="AU142" i="13"/>
  <c r="AR142" i="13"/>
  <c r="AP142" i="13"/>
  <c r="AH142" i="13"/>
  <c r="AF142" i="13"/>
  <c r="AN142" i="13"/>
  <c r="AL142" i="13"/>
  <c r="AJ142" i="13"/>
  <c r="AB142" i="13"/>
  <c r="Z142" i="13"/>
  <c r="V152" i="13"/>
  <c r="Z151" i="13"/>
  <c r="AL151" i="13"/>
  <c r="AB151" i="13"/>
  <c r="AH151" i="13"/>
  <c r="AF151" i="13"/>
  <c r="AR151" i="13"/>
  <c r="AP151" i="13"/>
  <c r="AN151" i="13"/>
  <c r="AU151" i="13"/>
  <c r="AJ151" i="13"/>
  <c r="AP149" i="13"/>
  <c r="AF149" i="13"/>
  <c r="AB149" i="13"/>
  <c r="AL149" i="13"/>
  <c r="AJ149" i="13"/>
  <c r="AH149" i="13"/>
  <c r="Z149" i="13"/>
  <c r="AU149" i="13"/>
  <c r="AR149" i="13"/>
  <c r="AN149" i="13"/>
  <c r="V148" i="13"/>
  <c r="Z178" i="13"/>
  <c r="AU179" i="13"/>
  <c r="AU133" i="13"/>
  <c r="AR133" i="13"/>
  <c r="AP133" i="13"/>
  <c r="AN133" i="13"/>
  <c r="AL133" i="13"/>
  <c r="AJ133" i="13"/>
  <c r="Z133" i="13"/>
  <c r="AH133" i="13"/>
  <c r="AF133" i="13"/>
  <c r="AB133" i="13"/>
  <c r="B134" i="13"/>
  <c r="B129" i="13"/>
  <c r="V129" i="13" s="1"/>
  <c r="AP103" i="13"/>
  <c r="AJ103" i="13"/>
  <c r="AB103" i="13"/>
  <c r="AF103" i="13"/>
  <c r="AU103" i="13"/>
  <c r="AL103" i="13"/>
  <c r="AN103" i="13"/>
  <c r="Z103" i="13"/>
  <c r="AH103" i="13"/>
  <c r="AR103" i="13"/>
  <c r="B107" i="13"/>
  <c r="V107" i="13" s="1"/>
  <c r="U104" i="13"/>
  <c r="AB96" i="13"/>
  <c r="AF96" i="13"/>
  <c r="AH96" i="13"/>
  <c r="AP96" i="13"/>
  <c r="AL96" i="13"/>
  <c r="AU96" i="13"/>
  <c r="AN96" i="13"/>
  <c r="AJ96" i="13"/>
  <c r="AR96" i="13"/>
  <c r="B97" i="13"/>
  <c r="V97" i="13" s="1"/>
  <c r="B98" i="13"/>
  <c r="V98" i="13" s="1"/>
  <c r="B99" i="13"/>
  <c r="V99" i="13" s="1"/>
  <c r="AD180" i="13" l="1"/>
  <c r="AB180" i="13"/>
  <c r="Z180" i="13"/>
  <c r="AD190" i="13"/>
  <c r="AB190" i="13"/>
  <c r="Z190" i="13"/>
  <c r="AD186" i="13"/>
  <c r="AB186" i="13"/>
  <c r="Z186" i="13"/>
  <c r="AH190" i="13"/>
  <c r="AL186" i="13"/>
  <c r="AL190" i="13"/>
  <c r="AB130" i="13"/>
  <c r="AH186" i="13"/>
  <c r="AL132" i="13"/>
  <c r="AP132" i="13"/>
  <c r="AR132" i="13"/>
  <c r="AP190" i="13"/>
  <c r="AD122" i="13"/>
  <c r="AB122" i="13"/>
  <c r="Z122" i="13"/>
  <c r="AN190" i="13"/>
  <c r="AN186" i="13"/>
  <c r="AR186" i="13"/>
  <c r="AD138" i="13"/>
  <c r="AB138" i="13"/>
  <c r="Z138" i="13"/>
  <c r="AR190" i="13"/>
  <c r="V134" i="13"/>
  <c r="AN134" i="13" s="1"/>
  <c r="AF190" i="13"/>
  <c r="AF131" i="13"/>
  <c r="AB131" i="13"/>
  <c r="Z131" i="13"/>
  <c r="AJ131" i="13"/>
  <c r="AU131" i="13"/>
  <c r="AN131" i="13"/>
  <c r="AP131" i="13"/>
  <c r="AL131" i="13"/>
  <c r="AR131" i="13"/>
  <c r="AH131" i="13"/>
  <c r="AN132" i="13"/>
  <c r="AP130" i="13"/>
  <c r="AU132" i="13"/>
  <c r="AR130" i="13"/>
  <c r="AH132" i="13"/>
  <c r="AJ130" i="13"/>
  <c r="AJ132" i="13"/>
  <c r="AL130" i="13"/>
  <c r="AN130" i="13"/>
  <c r="U105" i="13"/>
  <c r="B105" i="13" s="1"/>
  <c r="V105" i="13" s="1"/>
  <c r="AH105" i="13" s="1"/>
  <c r="AU130" i="13"/>
  <c r="Z132" i="13"/>
  <c r="Z130" i="13"/>
  <c r="AB132" i="13"/>
  <c r="AF130" i="13"/>
  <c r="AP186" i="13"/>
  <c r="AF186" i="13"/>
  <c r="AU180" i="13"/>
  <c r="AH180" i="13"/>
  <c r="AF180" i="13"/>
  <c r="AN180" i="13"/>
  <c r="AR180" i="13"/>
  <c r="AP180" i="13"/>
  <c r="AL180" i="13"/>
  <c r="V181" i="13"/>
  <c r="AP138" i="13"/>
  <c r="AR138" i="13"/>
  <c r="AL138" i="13"/>
  <c r="AN138" i="13"/>
  <c r="AH138" i="13"/>
  <c r="AF138" i="13"/>
  <c r="B182" i="13"/>
  <c r="U182" i="13"/>
  <c r="AU186" i="13"/>
  <c r="AJ180" i="13"/>
  <c r="AJ186" i="13"/>
  <c r="AJ138" i="13"/>
  <c r="AJ190" i="13"/>
  <c r="AB146" i="13"/>
  <c r="AF146" i="13"/>
  <c r="AJ146" i="13"/>
  <c r="AH146" i="13"/>
  <c r="AJ185" i="13"/>
  <c r="AU185" i="13"/>
  <c r="AU138" i="13"/>
  <c r="AU190" i="13"/>
  <c r="AH122" i="13"/>
  <c r="AJ122" i="13"/>
  <c r="AF122" i="13"/>
  <c r="AP144" i="13"/>
  <c r="AU144" i="13"/>
  <c r="AJ144" i="13"/>
  <c r="AN144" i="13"/>
  <c r="AL144" i="13"/>
  <c r="Z144" i="13"/>
  <c r="AH144" i="13"/>
  <c r="AF144" i="13"/>
  <c r="AB144" i="13"/>
  <c r="AU153" i="13"/>
  <c r="AP153" i="13"/>
  <c r="AF153" i="13"/>
  <c r="AH153" i="13"/>
  <c r="AL153" i="13"/>
  <c r="AR153" i="13"/>
  <c r="AN153" i="13"/>
  <c r="Z153" i="13"/>
  <c r="AJ153" i="13"/>
  <c r="AU108" i="13"/>
  <c r="Z108" i="13"/>
  <c r="AN108" i="13"/>
  <c r="AF108" i="13"/>
  <c r="AL108" i="13"/>
  <c r="AR108" i="13"/>
  <c r="AP108" i="13"/>
  <c r="AJ108" i="13"/>
  <c r="AH108" i="13"/>
  <c r="J13" i="2"/>
  <c r="AB178" i="13"/>
  <c r="AU184" i="13"/>
  <c r="AP146" i="13"/>
  <c r="AR146" i="13"/>
  <c r="AU146" i="13"/>
  <c r="AN146" i="13"/>
  <c r="AL146" i="13"/>
  <c r="AP150" i="13"/>
  <c r="AN150" i="13"/>
  <c r="AB150" i="13"/>
  <c r="AR150" i="13"/>
  <c r="AL150" i="13"/>
  <c r="AJ150" i="13"/>
  <c r="AF150" i="13"/>
  <c r="AU150" i="13"/>
  <c r="AH150" i="13"/>
  <c r="Z150" i="13"/>
  <c r="AL122" i="13"/>
  <c r="AR122" i="13"/>
  <c r="AP122" i="13"/>
  <c r="AN122" i="13"/>
  <c r="AU122" i="13"/>
  <c r="AU178" i="13"/>
  <c r="AL148" i="13"/>
  <c r="AB148" i="13"/>
  <c r="AU148" i="13"/>
  <c r="AN148" i="13"/>
  <c r="AR148" i="13"/>
  <c r="AP148" i="13"/>
  <c r="AH148" i="13"/>
  <c r="AF148" i="13"/>
  <c r="AJ148" i="13"/>
  <c r="Z148" i="13"/>
  <c r="AN152" i="13"/>
  <c r="AH152" i="13"/>
  <c r="AF152" i="13"/>
  <c r="AU152" i="13"/>
  <c r="AL152" i="13"/>
  <c r="AR152" i="13"/>
  <c r="AP152" i="13"/>
  <c r="AJ152" i="13"/>
  <c r="Z152" i="13"/>
  <c r="AB152" i="13"/>
  <c r="AP129" i="13"/>
  <c r="AL129" i="13"/>
  <c r="AN129" i="13"/>
  <c r="AJ129" i="13"/>
  <c r="AH129" i="13"/>
  <c r="AF129" i="13"/>
  <c r="AB129" i="13"/>
  <c r="AU129" i="13"/>
  <c r="Z129" i="13"/>
  <c r="AR129" i="13"/>
  <c r="AH106" i="13"/>
  <c r="AF106" i="13"/>
  <c r="AU106" i="13"/>
  <c r="AN106" i="13"/>
  <c r="Z106" i="13"/>
  <c r="AR106" i="13"/>
  <c r="AB106" i="13"/>
  <c r="AP106" i="13"/>
  <c r="AJ106" i="13"/>
  <c r="AL106" i="13"/>
  <c r="AJ107" i="13"/>
  <c r="AR107" i="13"/>
  <c r="Z107" i="13"/>
  <c r="AB107" i="13"/>
  <c r="AN107" i="13"/>
  <c r="AU107" i="13"/>
  <c r="AF107" i="13"/>
  <c r="AH107" i="13"/>
  <c r="AP107" i="13"/>
  <c r="AL107" i="13"/>
  <c r="B104" i="13"/>
  <c r="V104" i="13" s="1"/>
  <c r="Z97" i="13"/>
  <c r="AB97" i="13"/>
  <c r="AB99" i="13"/>
  <c r="Z99" i="13"/>
  <c r="AB98" i="13"/>
  <c r="Z98" i="13"/>
  <c r="AF98" i="13"/>
  <c r="AR98" i="13"/>
  <c r="AP98" i="13"/>
  <c r="AL98" i="13"/>
  <c r="AH98" i="13"/>
  <c r="AU98" i="13"/>
  <c r="AJ98" i="13"/>
  <c r="AN98" i="13"/>
  <c r="AR97" i="13"/>
  <c r="AP97" i="13"/>
  <c r="AU97" i="13"/>
  <c r="AN97" i="13"/>
  <c r="AL97" i="13"/>
  <c r="AJ97" i="13"/>
  <c r="AH97" i="13"/>
  <c r="AF97" i="13"/>
  <c r="AJ99" i="13"/>
  <c r="AH99" i="13"/>
  <c r="AF99" i="13"/>
  <c r="AR99" i="13"/>
  <c r="AU99" i="13"/>
  <c r="AP99" i="13"/>
  <c r="AN99" i="13"/>
  <c r="AL99" i="13"/>
  <c r="AD181" i="13" l="1"/>
  <c r="AB181" i="13"/>
  <c r="Z181" i="13"/>
  <c r="AH134" i="13"/>
  <c r="AJ134" i="13"/>
  <c r="AF134" i="13"/>
  <c r="AR134" i="13"/>
  <c r="Z134" i="13"/>
  <c r="AB134" i="13"/>
  <c r="AB105" i="13"/>
  <c r="Z105" i="13"/>
  <c r="AJ105" i="13"/>
  <c r="AP105" i="13"/>
  <c r="AU134" i="13"/>
  <c r="AP134" i="13"/>
  <c r="AL134" i="13"/>
  <c r="AF105" i="13"/>
  <c r="AU105" i="13"/>
  <c r="AN105" i="13"/>
  <c r="AL105" i="13"/>
  <c r="AR105" i="13"/>
  <c r="AJ181" i="13"/>
  <c r="AU181" i="13"/>
  <c r="AH181" i="13"/>
  <c r="AP181" i="13"/>
  <c r="AL181" i="13"/>
  <c r="AR181" i="13"/>
  <c r="AF181" i="13"/>
  <c r="AN181" i="13"/>
  <c r="V182" i="13"/>
  <c r="K13" i="2"/>
  <c r="AL104" i="13"/>
  <c r="AF104" i="13"/>
  <c r="AU104" i="13"/>
  <c r="AH104" i="13"/>
  <c r="AB104" i="13"/>
  <c r="AJ104" i="13"/>
  <c r="Z104" i="13"/>
  <c r="AR104" i="13"/>
  <c r="AP104" i="13"/>
  <c r="AN104" i="13"/>
  <c r="AB182" i="13" l="1"/>
  <c r="AD182" i="13"/>
  <c r="Z182" i="13"/>
  <c r="AJ182" i="13"/>
  <c r="AU182" i="13"/>
  <c r="AL182" i="13"/>
  <c r="AP182" i="13"/>
  <c r="AF182" i="13"/>
  <c r="AH182" i="13"/>
  <c r="AN182" i="13"/>
  <c r="AR182" i="13"/>
  <c r="L13" i="2"/>
  <c r="D94" i="13"/>
  <c r="V94" i="13" s="1"/>
  <c r="D93" i="13"/>
  <c r="V93" i="13" s="1"/>
  <c r="V92" i="13"/>
  <c r="D91" i="13"/>
  <c r="V91" i="13" s="1"/>
  <c r="D90" i="13"/>
  <c r="V90" i="13" s="1"/>
  <c r="AB90" i="13" s="1"/>
  <c r="D89" i="13"/>
  <c r="V89" i="13" s="1"/>
  <c r="D88" i="13"/>
  <c r="D87" i="13"/>
  <c r="D86" i="13"/>
  <c r="D85" i="13"/>
  <c r="D84" i="13"/>
  <c r="D83" i="13"/>
  <c r="D81" i="13"/>
  <c r="U80" i="13"/>
  <c r="D80" i="13"/>
  <c r="M78" i="13"/>
  <c r="P78" i="13" s="1"/>
  <c r="D78" i="13"/>
  <c r="M77" i="13"/>
  <c r="P77" i="13" s="1"/>
  <c r="D77" i="13"/>
  <c r="M76" i="13"/>
  <c r="P76" i="13" s="1"/>
  <c r="D76" i="13"/>
  <c r="M75" i="13"/>
  <c r="P75" i="13" s="1"/>
  <c r="D75" i="13"/>
  <c r="M74" i="13"/>
  <c r="P74" i="13" s="1"/>
  <c r="D74" i="13"/>
  <c r="M73" i="13"/>
  <c r="P73" i="13" s="1"/>
  <c r="D73" i="13"/>
  <c r="M72" i="13"/>
  <c r="P72" i="13" s="1"/>
  <c r="D72" i="13"/>
  <c r="M71" i="13"/>
  <c r="P71" i="13" s="1"/>
  <c r="D71" i="13"/>
  <c r="M70" i="13"/>
  <c r="P70" i="13" s="1"/>
  <c r="D70" i="13"/>
  <c r="D68" i="13"/>
  <c r="D67" i="13"/>
  <c r="D65" i="13"/>
  <c r="D64" i="13"/>
  <c r="D63" i="13"/>
  <c r="D62" i="13"/>
  <c r="D61" i="13"/>
  <c r="D60" i="13"/>
  <c r="D59" i="13"/>
  <c r="D58" i="13"/>
  <c r="D57" i="13"/>
  <c r="U67" i="13"/>
  <c r="M65" i="13"/>
  <c r="P65" i="13" s="1"/>
  <c r="M64" i="13"/>
  <c r="P64" i="13" s="1"/>
  <c r="M63" i="13"/>
  <c r="P63" i="13" s="1"/>
  <c r="M62" i="13"/>
  <c r="P62" i="13" s="1"/>
  <c r="M61" i="13"/>
  <c r="P61" i="13" s="1"/>
  <c r="M60" i="13"/>
  <c r="P60" i="13" s="1"/>
  <c r="M59" i="13"/>
  <c r="P59" i="13" s="1"/>
  <c r="M58" i="13"/>
  <c r="P58" i="13" s="1"/>
  <c r="M57" i="13"/>
  <c r="P57" i="13" s="1"/>
  <c r="M52" i="13"/>
  <c r="P52" i="13" s="1"/>
  <c r="D52" i="13"/>
  <c r="M51" i="13"/>
  <c r="P51" i="13" s="1"/>
  <c r="D51" i="13"/>
  <c r="M50" i="13"/>
  <c r="P50" i="13" s="1"/>
  <c r="D50" i="13"/>
  <c r="M49" i="13"/>
  <c r="P49" i="13" s="1"/>
  <c r="D49" i="13"/>
  <c r="M48" i="13"/>
  <c r="P48" i="13" s="1"/>
  <c r="D48" i="13"/>
  <c r="M47" i="13"/>
  <c r="P47" i="13" s="1"/>
  <c r="D47" i="13"/>
  <c r="M46" i="13"/>
  <c r="P46" i="13" s="1"/>
  <c r="D46" i="13"/>
  <c r="M45" i="13"/>
  <c r="P45" i="13" s="1"/>
  <c r="D45" i="13"/>
  <c r="M44" i="13"/>
  <c r="P44" i="13" s="1"/>
  <c r="D44" i="13"/>
  <c r="D28" i="13"/>
  <c r="U27" i="13"/>
  <c r="B27" i="13" s="1"/>
  <c r="D27" i="13"/>
  <c r="M25" i="13"/>
  <c r="P25" i="13" s="1"/>
  <c r="D25" i="13"/>
  <c r="M24" i="13"/>
  <c r="P24" i="13" s="1"/>
  <c r="D24" i="13"/>
  <c r="M23" i="13"/>
  <c r="P23" i="13" s="1"/>
  <c r="D23" i="13"/>
  <c r="M22" i="13"/>
  <c r="P22" i="13" s="1"/>
  <c r="D22" i="13"/>
  <c r="M21" i="13"/>
  <c r="P21" i="13" s="1"/>
  <c r="D21" i="13"/>
  <c r="M20" i="13"/>
  <c r="P20" i="13" s="1"/>
  <c r="D20" i="13"/>
  <c r="M19" i="13"/>
  <c r="P19" i="13" s="1"/>
  <c r="D19" i="13"/>
  <c r="M18" i="13"/>
  <c r="P18" i="13" s="1"/>
  <c r="D18" i="13"/>
  <c r="M17" i="13"/>
  <c r="P17" i="13" s="1"/>
  <c r="D17" i="13"/>
  <c r="AD93" i="13" l="1"/>
  <c r="AB93" i="13"/>
  <c r="Z93" i="13"/>
  <c r="AD92" i="13"/>
  <c r="AB92" i="13"/>
  <c r="Z92" i="13"/>
  <c r="AD94" i="13"/>
  <c r="AB94" i="13"/>
  <c r="Z94" i="13"/>
  <c r="AR92" i="13"/>
  <c r="AF92" i="13"/>
  <c r="AN92" i="13"/>
  <c r="AP92" i="13"/>
  <c r="AL92" i="13"/>
  <c r="AH92" i="13"/>
  <c r="AJ92" i="13"/>
  <c r="AU92" i="13"/>
  <c r="AH93" i="13"/>
  <c r="AR93" i="13"/>
  <c r="AP93" i="13"/>
  <c r="AL93" i="13"/>
  <c r="AJ93" i="13"/>
  <c r="AF93" i="13"/>
  <c r="AN93" i="13"/>
  <c r="AU93" i="13"/>
  <c r="AH94" i="13"/>
  <c r="AF94" i="13"/>
  <c r="AN94" i="13"/>
  <c r="AL94" i="13"/>
  <c r="AJ94" i="13"/>
  <c r="AR94" i="13"/>
  <c r="AP94" i="13"/>
  <c r="AU94" i="13"/>
  <c r="O20" i="13"/>
  <c r="O52" i="13"/>
  <c r="S52" i="13" s="1"/>
  <c r="O57" i="13"/>
  <c r="O74" i="13"/>
  <c r="O51" i="13"/>
  <c r="S51" i="13" s="1"/>
  <c r="U51" i="13" s="1"/>
  <c r="O71" i="13"/>
  <c r="O54" i="13"/>
  <c r="S54" i="13" s="1"/>
  <c r="O73" i="13"/>
  <c r="O55" i="13"/>
  <c r="S55" i="13" s="1"/>
  <c r="O22" i="13"/>
  <c r="O23" i="13"/>
  <c r="O58" i="13"/>
  <c r="O47" i="13"/>
  <c r="O60" i="13"/>
  <c r="O48" i="13"/>
  <c r="O17" i="13"/>
  <c r="O62" i="13"/>
  <c r="O63" i="13"/>
  <c r="O18" i="13"/>
  <c r="O26" i="13"/>
  <c r="S26" i="13" s="1"/>
  <c r="O64" i="13"/>
  <c r="S64" i="13" s="1"/>
  <c r="U64" i="13" s="1"/>
  <c r="V64" i="13" s="1"/>
  <c r="AB64" i="13" s="1"/>
  <c r="O19" i="13"/>
  <c r="O44" i="13"/>
  <c r="O72" i="13"/>
  <c r="O21" i="13"/>
  <c r="O53" i="13"/>
  <c r="S53" i="13" s="1"/>
  <c r="O45" i="13"/>
  <c r="O46" i="13"/>
  <c r="O59" i="13"/>
  <c r="O75" i="13"/>
  <c r="U24" i="13"/>
  <c r="O24" i="13"/>
  <c r="O61" i="13"/>
  <c r="O76" i="13"/>
  <c r="O25" i="13"/>
  <c r="U25" i="13"/>
  <c r="O49" i="13"/>
  <c r="O77" i="13"/>
  <c r="S77" i="13" s="1"/>
  <c r="U77" i="13" s="1"/>
  <c r="V77" i="13" s="1"/>
  <c r="AB77" i="13" s="1"/>
  <c r="O50" i="13"/>
  <c r="O65" i="13"/>
  <c r="S65" i="13" s="1"/>
  <c r="U65" i="13" s="1"/>
  <c r="V65" i="13" s="1"/>
  <c r="O70" i="13"/>
  <c r="O78" i="13"/>
  <c r="S78" i="13" s="1"/>
  <c r="U78" i="13" s="1"/>
  <c r="V78" i="13" s="1"/>
  <c r="O66" i="13"/>
  <c r="S66" i="13" s="1"/>
  <c r="M13" i="2"/>
  <c r="AB91" i="13"/>
  <c r="Z91" i="13"/>
  <c r="AF91" i="13"/>
  <c r="AL91" i="13"/>
  <c r="AJ91" i="13"/>
  <c r="AH91" i="13"/>
  <c r="V67" i="13"/>
  <c r="V27" i="13"/>
  <c r="V80" i="13"/>
  <c r="Q62" i="13"/>
  <c r="Q47" i="13"/>
  <c r="Q58" i="13"/>
  <c r="Q60" i="13"/>
  <c r="Q57" i="13"/>
  <c r="Q48" i="13"/>
  <c r="Q49" i="13"/>
  <c r="Q75" i="13"/>
  <c r="R76" i="13"/>
  <c r="R63" i="13"/>
  <c r="U81" i="13"/>
  <c r="V81" i="13" s="1"/>
  <c r="R50" i="13"/>
  <c r="Q22" i="13"/>
  <c r="Q45" i="13"/>
  <c r="U68" i="13"/>
  <c r="V68" i="13" s="1"/>
  <c r="Q71" i="13"/>
  <c r="Q59" i="13"/>
  <c r="Q70" i="13"/>
  <c r="Q73" i="13"/>
  <c r="Q74" i="13"/>
  <c r="Q61" i="13"/>
  <c r="Q44" i="13"/>
  <c r="Q46" i="13"/>
  <c r="Q72" i="13"/>
  <c r="Z90" i="13"/>
  <c r="Z89" i="13"/>
  <c r="AB89" i="13"/>
  <c r="Q21" i="13"/>
  <c r="U28" i="13"/>
  <c r="Q19" i="13"/>
  <c r="Q20" i="13"/>
  <c r="Q17" i="13"/>
  <c r="Q18" i="13"/>
  <c r="AB80" i="13" l="1"/>
  <c r="AD80" i="13"/>
  <c r="Z80" i="13"/>
  <c r="AD68" i="13"/>
  <c r="AB68" i="13"/>
  <c r="Z68" i="13"/>
  <c r="AD27" i="13"/>
  <c r="AB27" i="13"/>
  <c r="Z27" i="13"/>
  <c r="AB67" i="13"/>
  <c r="AD67" i="13"/>
  <c r="Z67" i="13"/>
  <c r="AD81" i="13"/>
  <c r="AB81" i="13"/>
  <c r="Z81" i="13"/>
  <c r="S50" i="13"/>
  <c r="T50" i="13" s="1"/>
  <c r="S76" i="13"/>
  <c r="U76" i="13" s="1"/>
  <c r="V76" i="13" s="1"/>
  <c r="S63" i="13"/>
  <c r="T63" i="13" s="1"/>
  <c r="B53" i="13"/>
  <c r="AJ68" i="13"/>
  <c r="AH68" i="13"/>
  <c r="AP68" i="13"/>
  <c r="AN68" i="13"/>
  <c r="AF68" i="13"/>
  <c r="AR68" i="13"/>
  <c r="AL68" i="13"/>
  <c r="AU68" i="13"/>
  <c r="AR80" i="13"/>
  <c r="AH80" i="13"/>
  <c r="AF80" i="13"/>
  <c r="AP80" i="13"/>
  <c r="AJ80" i="13"/>
  <c r="AN80" i="13"/>
  <c r="AL80" i="13"/>
  <c r="AU80" i="13"/>
  <c r="AP81" i="13"/>
  <c r="AR81" i="13"/>
  <c r="AN81" i="13"/>
  <c r="AL81" i="13"/>
  <c r="AF81" i="13"/>
  <c r="AJ81" i="13"/>
  <c r="AH81" i="13"/>
  <c r="AU81" i="13"/>
  <c r="AR27" i="13"/>
  <c r="AH27" i="13"/>
  <c r="AF27" i="13"/>
  <c r="AP27" i="13"/>
  <c r="AN27" i="13"/>
  <c r="AJ27" i="13"/>
  <c r="AL27" i="13"/>
  <c r="AU27" i="13"/>
  <c r="AJ67" i="13"/>
  <c r="AH67" i="13"/>
  <c r="AF67" i="13"/>
  <c r="AR67" i="13"/>
  <c r="AP67" i="13"/>
  <c r="AN67" i="13"/>
  <c r="AL67" i="13"/>
  <c r="AU67" i="13"/>
  <c r="U66" i="13"/>
  <c r="U55" i="13"/>
  <c r="B55" i="13"/>
  <c r="U54" i="13"/>
  <c r="B54" i="13"/>
  <c r="U26" i="13"/>
  <c r="U53" i="13"/>
  <c r="N13" i="2"/>
  <c r="AB78" i="13"/>
  <c r="Z78" i="13"/>
  <c r="AB65" i="13"/>
  <c r="Z65" i="13"/>
  <c r="AL65" i="13"/>
  <c r="AJ65" i="13"/>
  <c r="AH65" i="13"/>
  <c r="AF65" i="13"/>
  <c r="AL78" i="13"/>
  <c r="AJ78" i="13"/>
  <c r="AH78" i="13"/>
  <c r="AF78" i="13"/>
  <c r="B24" i="13"/>
  <c r="V24" i="13" s="1"/>
  <c r="AB24" i="13" s="1"/>
  <c r="B25" i="13"/>
  <c r="V25" i="13" s="1"/>
  <c r="B28" i="13"/>
  <c r="V28" i="13" s="1"/>
  <c r="R59" i="13"/>
  <c r="S59" i="13" s="1"/>
  <c r="R70" i="13"/>
  <c r="R61" i="13"/>
  <c r="S61" i="13" s="1"/>
  <c r="R21" i="13"/>
  <c r="U21" i="13" s="1"/>
  <c r="B21" i="13" s="1"/>
  <c r="R49" i="13"/>
  <c r="S49" i="13" s="1"/>
  <c r="R58" i="13"/>
  <c r="S58" i="13" s="1"/>
  <c r="R74" i="13"/>
  <c r="S74" i="13" s="1"/>
  <c r="R62" i="13"/>
  <c r="R60" i="13"/>
  <c r="S60" i="13" s="1"/>
  <c r="R75" i="13"/>
  <c r="S75" i="13" s="1"/>
  <c r="R48" i="13"/>
  <c r="S48" i="13" s="1"/>
  <c r="R45" i="13"/>
  <c r="S45" i="13" s="1"/>
  <c r="R57" i="13"/>
  <c r="R72" i="13"/>
  <c r="R44" i="13"/>
  <c r="S44" i="13" s="1"/>
  <c r="R18" i="13"/>
  <c r="U18" i="13" s="1"/>
  <c r="B18" i="13" s="1"/>
  <c r="U52" i="13"/>
  <c r="T77" i="13"/>
  <c r="R71" i="13"/>
  <c r="S71" i="13" s="1"/>
  <c r="R19" i="13"/>
  <c r="U19" i="13" s="1"/>
  <c r="B19" i="13" s="1"/>
  <c r="R20" i="13"/>
  <c r="U20" i="13" s="1"/>
  <c r="B20" i="13" s="1"/>
  <c r="Z64" i="13"/>
  <c r="R17" i="13"/>
  <c r="U17" i="13" s="1"/>
  <c r="B17" i="13" s="1"/>
  <c r="R22" i="13"/>
  <c r="U22" i="13" s="1"/>
  <c r="B22" i="13" s="1"/>
  <c r="Z77" i="13"/>
  <c r="T51" i="13"/>
  <c r="R47" i="13"/>
  <c r="S47" i="13" s="1"/>
  <c r="R23" i="13"/>
  <c r="R46" i="13"/>
  <c r="T64" i="13"/>
  <c r="R73" i="13"/>
  <c r="V84" i="13"/>
  <c r="V88" i="13"/>
  <c r="V83" i="13"/>
  <c r="AU91" i="13"/>
  <c r="AN91" i="13"/>
  <c r="AR91" i="13"/>
  <c r="AP91" i="13"/>
  <c r="AU90" i="13"/>
  <c r="AR90" i="13"/>
  <c r="AP90" i="13"/>
  <c r="AH90" i="13"/>
  <c r="AN90" i="13"/>
  <c r="AL90" i="13"/>
  <c r="AJ90" i="13"/>
  <c r="AF90" i="13"/>
  <c r="B51" i="13"/>
  <c r="V51" i="13" s="1"/>
  <c r="AB51" i="13" s="1"/>
  <c r="AD28" i="13" l="1"/>
  <c r="AB28" i="13"/>
  <c r="Z28" i="13"/>
  <c r="S46" i="13"/>
  <c r="U46" i="13" s="1"/>
  <c r="B46" i="13" s="1"/>
  <c r="V46" i="13" s="1"/>
  <c r="U45" i="13"/>
  <c r="B45" i="13" s="1"/>
  <c r="V45" i="13" s="1"/>
  <c r="AB45" i="13" s="1"/>
  <c r="U49" i="13"/>
  <c r="T44" i="13"/>
  <c r="U58" i="13"/>
  <c r="B58" i="13" s="1"/>
  <c r="V58" i="13" s="1"/>
  <c r="AB58" i="13" s="1"/>
  <c r="S57" i="13"/>
  <c r="U57" i="13" s="1"/>
  <c r="B57" i="13" s="1"/>
  <c r="V57" i="13" s="1"/>
  <c r="AU57" i="13" s="1"/>
  <c r="U71" i="13"/>
  <c r="B71" i="13" s="1"/>
  <c r="V71" i="13" s="1"/>
  <c r="AR71" i="13" s="1"/>
  <c r="U63" i="13"/>
  <c r="V63" i="13" s="1"/>
  <c r="AB63" i="13" s="1"/>
  <c r="T59" i="13"/>
  <c r="U75" i="13"/>
  <c r="B75" i="13" s="1"/>
  <c r="V75" i="13" s="1"/>
  <c r="Z75" i="13" s="1"/>
  <c r="U74" i="13"/>
  <c r="B74" i="13" s="1"/>
  <c r="V74" i="13" s="1"/>
  <c r="AB74" i="13" s="1"/>
  <c r="S72" i="13"/>
  <c r="T72" i="13" s="1"/>
  <c r="S70" i="13"/>
  <c r="U70" i="13" s="1"/>
  <c r="B70" i="13" s="1"/>
  <c r="V70" i="13" s="1"/>
  <c r="T61" i="13"/>
  <c r="S73" i="13"/>
  <c r="T73" i="13" s="1"/>
  <c r="S62" i="13"/>
  <c r="T62" i="13" s="1"/>
  <c r="AP28" i="13"/>
  <c r="AN28" i="13"/>
  <c r="AL28" i="13"/>
  <c r="AR28" i="13"/>
  <c r="AJ28" i="13"/>
  <c r="AH28" i="13"/>
  <c r="AF28" i="13"/>
  <c r="AU28" i="13"/>
  <c r="V55" i="13"/>
  <c r="V66" i="13"/>
  <c r="B13" i="2"/>
  <c r="AB25" i="13"/>
  <c r="Z25" i="13"/>
  <c r="AL25" i="13"/>
  <c r="AJ25" i="13"/>
  <c r="AH25" i="13"/>
  <c r="AF25" i="13"/>
  <c r="AH24" i="13"/>
  <c r="AJ24" i="13"/>
  <c r="Z24" i="13"/>
  <c r="AP24" i="13"/>
  <c r="AF24" i="13"/>
  <c r="AL24" i="13"/>
  <c r="AU24" i="13"/>
  <c r="AN24" i="13"/>
  <c r="AR24" i="13"/>
  <c r="V79" i="13"/>
  <c r="V26" i="13"/>
  <c r="T60" i="13"/>
  <c r="U60" i="13"/>
  <c r="B60" i="13" s="1"/>
  <c r="V60" i="13" s="1"/>
  <c r="AB60" i="13" s="1"/>
  <c r="U48" i="13"/>
  <c r="B48" i="13" s="1"/>
  <c r="V48" i="13" s="1"/>
  <c r="AN48" i="13" s="1"/>
  <c r="T48" i="13"/>
  <c r="T49" i="13"/>
  <c r="T58" i="13"/>
  <c r="U59" i="13"/>
  <c r="B59" i="13" s="1"/>
  <c r="V59" i="13" s="1"/>
  <c r="T74" i="13"/>
  <c r="U61" i="13"/>
  <c r="B61" i="13" s="1"/>
  <c r="V61" i="13" s="1"/>
  <c r="AF61" i="13" s="1"/>
  <c r="V19" i="13"/>
  <c r="T75" i="13"/>
  <c r="Z76" i="13"/>
  <c r="AB76" i="13"/>
  <c r="U44" i="13"/>
  <c r="B44" i="13" s="1"/>
  <c r="V44" i="13" s="1"/>
  <c r="AN44" i="13" s="1"/>
  <c r="T76" i="13"/>
  <c r="V17" i="13"/>
  <c r="Z17" i="13" s="1"/>
  <c r="U50" i="13"/>
  <c r="B50" i="13" s="1"/>
  <c r="V50" i="13" s="1"/>
  <c r="T45" i="13"/>
  <c r="U47" i="13"/>
  <c r="B47" i="13" s="1"/>
  <c r="V47" i="13" s="1"/>
  <c r="U23" i="13"/>
  <c r="T46" i="13"/>
  <c r="V21" i="13"/>
  <c r="T71" i="13"/>
  <c r="AB84" i="13"/>
  <c r="Z84" i="13"/>
  <c r="AB83" i="13"/>
  <c r="Z83" i="13"/>
  <c r="AB88" i="13"/>
  <c r="Z88" i="13"/>
  <c r="Z51" i="13"/>
  <c r="V86" i="13"/>
  <c r="V85" i="13"/>
  <c r="AU85" i="13" s="1"/>
  <c r="V87" i="13"/>
  <c r="V20" i="13"/>
  <c r="V22" i="13"/>
  <c r="AU78" i="13"/>
  <c r="AR78" i="13"/>
  <c r="AR89" i="13"/>
  <c r="AU89" i="13"/>
  <c r="AP89" i="13"/>
  <c r="AF89" i="13"/>
  <c r="AL89" i="13"/>
  <c r="AH89" i="13"/>
  <c r="AJ89" i="13"/>
  <c r="AN89" i="13"/>
  <c r="AP78" i="13"/>
  <c r="AN78" i="13"/>
  <c r="AR88" i="13"/>
  <c r="AP88" i="13"/>
  <c r="AN88" i="13"/>
  <c r="AL88" i="13"/>
  <c r="AF88" i="13"/>
  <c r="AP76" i="13"/>
  <c r="AF76" i="13"/>
  <c r="AR76" i="13"/>
  <c r="AU76" i="13"/>
  <c r="AN76" i="13"/>
  <c r="AH76" i="13"/>
  <c r="AL76" i="13"/>
  <c r="AJ76" i="13"/>
  <c r="AU77" i="13"/>
  <c r="AF77" i="13"/>
  <c r="AR77" i="13"/>
  <c r="AP77" i="13"/>
  <c r="AN77" i="13"/>
  <c r="AL77" i="13"/>
  <c r="AJ77" i="13"/>
  <c r="AH77" i="13"/>
  <c r="AU64" i="13"/>
  <c r="AL64" i="13"/>
  <c r="AR64" i="13"/>
  <c r="AN64" i="13"/>
  <c r="AP64" i="13"/>
  <c r="AJ64" i="13"/>
  <c r="AH64" i="13"/>
  <c r="AF64" i="13"/>
  <c r="V18" i="13"/>
  <c r="AF51" i="13"/>
  <c r="AR51" i="13"/>
  <c r="AP51" i="13"/>
  <c r="AN51" i="13"/>
  <c r="AU51" i="13"/>
  <c r="AL51" i="13"/>
  <c r="AJ51" i="13"/>
  <c r="AH51" i="13"/>
  <c r="V53" i="13"/>
  <c r="V54" i="13"/>
  <c r="B52" i="13"/>
  <c r="V52" i="13" s="1"/>
  <c r="B49" i="13"/>
  <c r="V49" i="13" s="1"/>
  <c r="AP45" i="13"/>
  <c r="AU45" i="13"/>
  <c r="AR25" i="13"/>
  <c r="AN25" i="13"/>
  <c r="AU25" i="13"/>
  <c r="AP25" i="13"/>
  <c r="Z58" i="13" l="1"/>
  <c r="AD54" i="13"/>
  <c r="AB54" i="13"/>
  <c r="Z54" i="13"/>
  <c r="AD53" i="13"/>
  <c r="AB53" i="13"/>
  <c r="Z53" i="13"/>
  <c r="AH45" i="13"/>
  <c r="AD26" i="13"/>
  <c r="AB26" i="13"/>
  <c r="Z26" i="13"/>
  <c r="AJ45" i="13"/>
  <c r="AD79" i="13"/>
  <c r="AB79" i="13"/>
  <c r="Z79" i="13"/>
  <c r="AL45" i="13"/>
  <c r="AD66" i="13"/>
  <c r="AB66" i="13"/>
  <c r="Z66" i="13"/>
  <c r="AR45" i="13"/>
  <c r="AD55" i="13"/>
  <c r="AB55" i="13"/>
  <c r="Z55" i="13"/>
  <c r="AN71" i="13"/>
  <c r="AL71" i="13"/>
  <c r="AP71" i="13"/>
  <c r="U73" i="13"/>
  <c r="B73" i="13" s="1"/>
  <c r="V73" i="13" s="1"/>
  <c r="AB73" i="13" s="1"/>
  <c r="U62" i="13"/>
  <c r="V62" i="13" s="1"/>
  <c r="AB62" i="13" s="1"/>
  <c r="AN45" i="13"/>
  <c r="T70" i="13"/>
  <c r="U72" i="13"/>
  <c r="B72" i="13" s="1"/>
  <c r="V72" i="13" s="1"/>
  <c r="AF72" i="13" s="1"/>
  <c r="Z71" i="13"/>
  <c r="Z74" i="13"/>
  <c r="AU71" i="13"/>
  <c r="AJ71" i="13"/>
  <c r="AU46" i="13"/>
  <c r="AR46" i="13"/>
  <c r="AP46" i="13"/>
  <c r="AB46" i="13"/>
  <c r="AN46" i="13"/>
  <c r="Z46" i="13"/>
  <c r="AJ46" i="13"/>
  <c r="AL46" i="13"/>
  <c r="AH46" i="13"/>
  <c r="AF46" i="13"/>
  <c r="AF63" i="13"/>
  <c r="AB71" i="13"/>
  <c r="AH63" i="13"/>
  <c r="AR63" i="13"/>
  <c r="AF45" i="13"/>
  <c r="AP63" i="13"/>
  <c r="AU63" i="13"/>
  <c r="AJ63" i="13"/>
  <c r="AB75" i="13"/>
  <c r="AN63" i="13"/>
  <c r="AL63" i="13"/>
  <c r="AF71" i="13"/>
  <c r="Z45" i="13"/>
  <c r="T57" i="13"/>
  <c r="AH71" i="13"/>
  <c r="Z63" i="13"/>
  <c r="AH26" i="13"/>
  <c r="AN26" i="13"/>
  <c r="AL26" i="13"/>
  <c r="AP26" i="13"/>
  <c r="AR26" i="13"/>
  <c r="AF26" i="13"/>
  <c r="AH66" i="13"/>
  <c r="AF66" i="13"/>
  <c r="AL66" i="13"/>
  <c r="AN66" i="13"/>
  <c r="AP66" i="13"/>
  <c r="AR66" i="13"/>
  <c r="AF53" i="13"/>
  <c r="AR53" i="13"/>
  <c r="AL53" i="13"/>
  <c r="AH53" i="13"/>
  <c r="AP53" i="13"/>
  <c r="AN53" i="13"/>
  <c r="AN79" i="13"/>
  <c r="AH79" i="13"/>
  <c r="AF79" i="13"/>
  <c r="AP79" i="13"/>
  <c r="AR79" i="13"/>
  <c r="AL79" i="13"/>
  <c r="AJ53" i="13"/>
  <c r="AJ66" i="13"/>
  <c r="AJ26" i="13"/>
  <c r="AP55" i="13"/>
  <c r="AN55" i="13"/>
  <c r="AL55" i="13"/>
  <c r="AJ55" i="13"/>
  <c r="AH55" i="13"/>
  <c r="AF55" i="13"/>
  <c r="AR55" i="13"/>
  <c r="AU55" i="13"/>
  <c r="AU26" i="13"/>
  <c r="AU66" i="13"/>
  <c r="AU53" i="13"/>
  <c r="AJ79" i="13"/>
  <c r="AU79" i="13"/>
  <c r="AR54" i="13"/>
  <c r="AP54" i="13"/>
  <c r="AN54" i="13"/>
  <c r="AL54" i="13"/>
  <c r="AF54" i="13"/>
  <c r="AJ54" i="13"/>
  <c r="AH54" i="13"/>
  <c r="AU54" i="13"/>
  <c r="AB52" i="13"/>
  <c r="Z52" i="13"/>
  <c r="AL52" i="13"/>
  <c r="AJ52" i="13"/>
  <c r="AH52" i="13"/>
  <c r="AF52" i="13"/>
  <c r="B23" i="13"/>
  <c r="V23" i="13" s="1"/>
  <c r="Z70" i="13"/>
  <c r="AB70" i="13"/>
  <c r="AU48" i="13"/>
  <c r="AH48" i="13"/>
  <c r="AL48" i="13"/>
  <c r="Z48" i="13"/>
  <c r="AB48" i="13"/>
  <c r="AF48" i="13"/>
  <c r="AJ48" i="13"/>
  <c r="AP48" i="13"/>
  <c r="AR48" i="13"/>
  <c r="AJ60" i="13"/>
  <c r="AL60" i="13"/>
  <c r="AP60" i="13"/>
  <c r="AN60" i="13"/>
  <c r="AH60" i="13"/>
  <c r="Z60" i="13"/>
  <c r="AR60" i="13"/>
  <c r="Z59" i="13"/>
  <c r="AF60" i="13"/>
  <c r="AU60" i="13"/>
  <c r="AB59" i="13"/>
  <c r="AL61" i="13"/>
  <c r="AN61" i="13"/>
  <c r="AJ57" i="13"/>
  <c r="AH61" i="13"/>
  <c r="AU61" i="13"/>
  <c r="AJ61" i="13"/>
  <c r="AP61" i="13"/>
  <c r="AR61" i="13"/>
  <c r="AB61" i="13"/>
  <c r="Z61" i="13"/>
  <c r="AF19" i="13"/>
  <c r="AB19" i="13"/>
  <c r="Z19" i="13"/>
  <c r="T47" i="13"/>
  <c r="AB17" i="13"/>
  <c r="Z57" i="13"/>
  <c r="AH57" i="13"/>
  <c r="AB57" i="13"/>
  <c r="AP57" i="13"/>
  <c r="AR57" i="13"/>
  <c r="AL57" i="13"/>
  <c r="Z21" i="13"/>
  <c r="AF57" i="13"/>
  <c r="AN57" i="13"/>
  <c r="AB21" i="13"/>
  <c r="AL21" i="13"/>
  <c r="Z87" i="13"/>
  <c r="AB87" i="13"/>
  <c r="AB86" i="13"/>
  <c r="Z86" i="13"/>
  <c r="AB85" i="13"/>
  <c r="Z85" i="13"/>
  <c r="AB49" i="13"/>
  <c r="Z49" i="13"/>
  <c r="Z44" i="13"/>
  <c r="AB44" i="13"/>
  <c r="AB47" i="13"/>
  <c r="Z47" i="13"/>
  <c r="AB50" i="13"/>
  <c r="Z50" i="13"/>
  <c r="AB18" i="13"/>
  <c r="Z18" i="13"/>
  <c r="AB20" i="13"/>
  <c r="Z20" i="13"/>
  <c r="AB22" i="13"/>
  <c r="Z22" i="13"/>
  <c r="AH85" i="13"/>
  <c r="AU88" i="13"/>
  <c r="AJ85" i="13"/>
  <c r="AH88" i="13"/>
  <c r="AF85" i="13"/>
  <c r="AJ88" i="13"/>
  <c r="AP85" i="13"/>
  <c r="AP87" i="13"/>
  <c r="AR87" i="13"/>
  <c r="AL86" i="13"/>
  <c r="AF86" i="13"/>
  <c r="AP86" i="13"/>
  <c r="AN86" i="13"/>
  <c r="AH86" i="13"/>
  <c r="AU86" i="13"/>
  <c r="AJ86" i="13"/>
  <c r="AR86" i="13"/>
  <c r="AR85" i="13"/>
  <c r="AU20" i="13"/>
  <c r="AR20" i="13"/>
  <c r="AH20" i="13"/>
  <c r="AF20" i="13"/>
  <c r="AL20" i="13"/>
  <c r="AP20" i="13"/>
  <c r="AN20" i="13"/>
  <c r="AJ20" i="13"/>
  <c r="AP44" i="13"/>
  <c r="AR44" i="13"/>
  <c r="AN87" i="13"/>
  <c r="AU22" i="13"/>
  <c r="AU87" i="13"/>
  <c r="AL44" i="13"/>
  <c r="AR22" i="13"/>
  <c r="AH87" i="13"/>
  <c r="AU44" i="13"/>
  <c r="AF44" i="13"/>
  <c r="AJ87" i="13"/>
  <c r="AH44" i="13"/>
  <c r="AP22" i="13"/>
  <c r="AL85" i="13"/>
  <c r="AL87" i="13"/>
  <c r="AJ44" i="13"/>
  <c r="AF87" i="13"/>
  <c r="AN85" i="13"/>
  <c r="AR47" i="13"/>
  <c r="AL74" i="13"/>
  <c r="AN74" i="13"/>
  <c r="AJ74" i="13"/>
  <c r="AH74" i="13"/>
  <c r="AF74" i="13"/>
  <c r="AR74" i="13"/>
  <c r="AP74" i="13"/>
  <c r="AU74" i="13"/>
  <c r="AR84" i="13"/>
  <c r="AH84" i="13"/>
  <c r="AU84" i="13"/>
  <c r="AJ84" i="13"/>
  <c r="AP84" i="13"/>
  <c r="AL84" i="13"/>
  <c r="AF84" i="13"/>
  <c r="AN84" i="13"/>
  <c r="AN19" i="13"/>
  <c r="AU19" i="13"/>
  <c r="AR19" i="13"/>
  <c r="AP19" i="13"/>
  <c r="AJ19" i="13"/>
  <c r="AL83" i="13"/>
  <c r="AJ83" i="13"/>
  <c r="AH83" i="13"/>
  <c r="AU83" i="13"/>
  <c r="AR83" i="13"/>
  <c r="AP83" i="13"/>
  <c r="AF83" i="13"/>
  <c r="AN83" i="13"/>
  <c r="AH22" i="13"/>
  <c r="AH19" i="13"/>
  <c r="AF22" i="13"/>
  <c r="AN22" i="13"/>
  <c r="AL22" i="13"/>
  <c r="AJ22" i="13"/>
  <c r="AL70" i="13"/>
  <c r="AU70" i="13"/>
  <c r="AN70" i="13"/>
  <c r="AR70" i="13"/>
  <c r="AP70" i="13"/>
  <c r="AJ70" i="13"/>
  <c r="AH70" i="13"/>
  <c r="AF70" i="13"/>
  <c r="AH75" i="13"/>
  <c r="AJ75" i="13"/>
  <c r="AF75" i="13"/>
  <c r="AR75" i="13"/>
  <c r="AL75" i="13"/>
  <c r="AN75" i="13"/>
  <c r="AU75" i="13"/>
  <c r="AP75" i="13"/>
  <c r="AL19" i="13"/>
  <c r="AN21" i="13"/>
  <c r="AP21" i="13"/>
  <c r="AU21" i="13"/>
  <c r="AJ21" i="13"/>
  <c r="AR21" i="13"/>
  <c r="AF21" i="13"/>
  <c r="AH21" i="13"/>
  <c r="AP58" i="13"/>
  <c r="AH58" i="13"/>
  <c r="AN58" i="13"/>
  <c r="AJ58" i="13"/>
  <c r="AL58" i="13"/>
  <c r="AF58" i="13"/>
  <c r="AR58" i="13"/>
  <c r="AU58" i="13"/>
  <c r="AU65" i="13"/>
  <c r="AR65" i="13"/>
  <c r="AP65" i="13"/>
  <c r="AN65" i="13"/>
  <c r="AU18" i="13"/>
  <c r="AR18" i="13"/>
  <c r="AN18" i="13"/>
  <c r="AJ18" i="13"/>
  <c r="AH18" i="13"/>
  <c r="AF18" i="13"/>
  <c r="AP18" i="13"/>
  <c r="AL18" i="13"/>
  <c r="AL50" i="13"/>
  <c r="AJ50" i="13"/>
  <c r="AN50" i="13"/>
  <c r="AR50" i="13"/>
  <c r="AH50" i="13"/>
  <c r="AU50" i="13"/>
  <c r="AF50" i="13"/>
  <c r="AP50" i="13"/>
  <c r="AU52" i="13"/>
  <c r="AN52" i="13"/>
  <c r="AR52" i="13"/>
  <c r="AP52" i="13"/>
  <c r="AH49" i="13"/>
  <c r="AU49" i="13"/>
  <c r="AL49" i="13"/>
  <c r="AR49" i="13"/>
  <c r="AP49" i="13"/>
  <c r="AN49" i="13"/>
  <c r="AJ49" i="13"/>
  <c r="AF49" i="13"/>
  <c r="AL17" i="13"/>
  <c r="AJ17" i="13"/>
  <c r="AF17" i="13"/>
  <c r="AP17" i="13"/>
  <c r="AH17" i="13"/>
  <c r="AU17" i="13"/>
  <c r="AN17" i="13"/>
  <c r="AR17" i="13"/>
  <c r="AU73" i="13" l="1"/>
  <c r="AL73" i="13"/>
  <c r="AR73" i="13"/>
  <c r="AN73" i="13"/>
  <c r="AP73" i="13"/>
  <c r="AH72" i="13"/>
  <c r="AF62" i="13"/>
  <c r="Z73" i="13"/>
  <c r="AH73" i="13"/>
  <c r="AJ73" i="13"/>
  <c r="Z62" i="13"/>
  <c r="AF73" i="13"/>
  <c r="AN72" i="13"/>
  <c r="AL62" i="13"/>
  <c r="AL72" i="13"/>
  <c r="AR72" i="13"/>
  <c r="AU62" i="13"/>
  <c r="AU72" i="13"/>
  <c r="AJ62" i="13"/>
  <c r="AP72" i="13"/>
  <c r="AP62" i="13"/>
  <c r="AJ72" i="13"/>
  <c r="AR62" i="13"/>
  <c r="AH62" i="13"/>
  <c r="AN62" i="13"/>
  <c r="Z72" i="13"/>
  <c r="AB72" i="13"/>
  <c r="AP23" i="13"/>
  <c r="AU23" i="13"/>
  <c r="AH23" i="13"/>
  <c r="AR23" i="13"/>
  <c r="AN23" i="13"/>
  <c r="AB23" i="13"/>
  <c r="AJ23" i="13"/>
  <c r="Z23" i="13"/>
  <c r="AF23" i="13"/>
  <c r="AL23" i="13"/>
  <c r="AL47" i="13"/>
  <c r="AH47" i="13"/>
  <c r="AN47" i="13"/>
  <c r="AF47" i="13"/>
  <c r="AP47" i="13"/>
  <c r="AU47" i="13"/>
  <c r="AJ47" i="13"/>
  <c r="AF59" i="13"/>
  <c r="AH59" i="13"/>
  <c r="AU59" i="13"/>
  <c r="AJ59" i="13"/>
  <c r="AP59" i="13"/>
  <c r="AR59" i="13"/>
  <c r="AN59" i="13"/>
  <c r="AL59" i="13"/>
  <c r="M42" i="13"/>
  <c r="U40" i="13"/>
  <c r="M38" i="13"/>
  <c r="P38" i="13" s="1"/>
  <c r="M37" i="13"/>
  <c r="P37" i="13" s="1"/>
  <c r="M36" i="13"/>
  <c r="P36" i="13" s="1"/>
  <c r="M35" i="13"/>
  <c r="P35" i="13" s="1"/>
  <c r="M34" i="13"/>
  <c r="P34" i="13" s="1"/>
  <c r="M33" i="13"/>
  <c r="P33" i="13" s="1"/>
  <c r="M32" i="13"/>
  <c r="P32" i="13" s="1"/>
  <c r="M31" i="13"/>
  <c r="P31" i="13" s="1"/>
  <c r="M30" i="13"/>
  <c r="P30" i="13" s="1"/>
  <c r="A19" i="2"/>
  <c r="AT11" i="13"/>
  <c r="P11" i="13"/>
  <c r="AT10" i="13"/>
  <c r="P10" i="13"/>
  <c r="AT9" i="13"/>
  <c r="P9" i="13"/>
  <c r="AT8" i="13"/>
  <c r="P8" i="13"/>
  <c r="AT15" i="13"/>
  <c r="AT14" i="13"/>
  <c r="AT12" i="13"/>
  <c r="AT5" i="13"/>
  <c r="O35" i="13" l="1"/>
  <c r="R36" i="13"/>
  <c r="O36" i="13"/>
  <c r="O8" i="13"/>
  <c r="O37" i="13"/>
  <c r="S37" i="13" s="1"/>
  <c r="O10" i="13"/>
  <c r="O34" i="13"/>
  <c r="O38" i="13"/>
  <c r="S38" i="13" s="1"/>
  <c r="O9" i="13"/>
  <c r="O11" i="13"/>
  <c r="O30" i="13"/>
  <c r="O12" i="13"/>
  <c r="O31" i="13"/>
  <c r="O32" i="13"/>
  <c r="O33" i="13"/>
  <c r="O13" i="13"/>
  <c r="S13" i="13" s="1"/>
  <c r="U42" i="13"/>
  <c r="Q33" i="13"/>
  <c r="Q30" i="13"/>
  <c r="Q31" i="13"/>
  <c r="Q32" i="13"/>
  <c r="Q34" i="13"/>
  <c r="Q35" i="13"/>
  <c r="Q8" i="13"/>
  <c r="D37" i="13"/>
  <c r="D11" i="13"/>
  <c r="D10" i="13"/>
  <c r="A29" i="2"/>
  <c r="S36" i="13" l="1"/>
  <c r="U13" i="13"/>
  <c r="B13" i="13"/>
  <c r="S11" i="13"/>
  <c r="U11" i="13" s="1"/>
  <c r="S10" i="13"/>
  <c r="U10" i="13" s="1"/>
  <c r="R30" i="13"/>
  <c r="S30" i="13" s="1"/>
  <c r="S12" i="13"/>
  <c r="U12" i="13" s="1"/>
  <c r="R9" i="13"/>
  <c r="R31" i="13"/>
  <c r="S31" i="13" s="1"/>
  <c r="R33" i="13"/>
  <c r="R34" i="13"/>
  <c r="S34" i="13" s="1"/>
  <c r="R35" i="13"/>
  <c r="S35" i="13" s="1"/>
  <c r="R8" i="13"/>
  <c r="S8" i="13" s="1"/>
  <c r="U38" i="13"/>
  <c r="U36" i="13"/>
  <c r="U37" i="13"/>
  <c r="R32" i="13"/>
  <c r="S32" i="13" s="1"/>
  <c r="D33" i="13"/>
  <c r="D42" i="13"/>
  <c r="D40" i="13"/>
  <c r="D34" i="13"/>
  <c r="D36" i="13"/>
  <c r="D9" i="13"/>
  <c r="D8" i="13"/>
  <c r="D12" i="13"/>
  <c r="P7" i="13"/>
  <c r="U35" i="13" l="1"/>
  <c r="S33" i="13"/>
  <c r="U33" i="13" s="1"/>
  <c r="S9" i="13"/>
  <c r="U9" i="13" s="1"/>
  <c r="B9" i="13" s="1"/>
  <c r="U8" i="13"/>
  <c r="B8" i="13" s="1"/>
  <c r="O7" i="13"/>
  <c r="B12" i="13"/>
  <c r="V12" i="13" s="1"/>
  <c r="B10" i="13"/>
  <c r="B11" i="13"/>
  <c r="V11" i="13" s="1"/>
  <c r="V42" i="13"/>
  <c r="U30" i="13"/>
  <c r="B30" i="13" s="1"/>
  <c r="U34" i="13"/>
  <c r="B34" i="13" s="1"/>
  <c r="U31" i="13"/>
  <c r="B31" i="13" s="1"/>
  <c r="V37" i="13"/>
  <c r="U32" i="13"/>
  <c r="B32" i="13" s="1"/>
  <c r="V40" i="13"/>
  <c r="V36" i="13"/>
  <c r="Q7" i="13"/>
  <c r="D32" i="13"/>
  <c r="V39" i="13"/>
  <c r="D38" i="13"/>
  <c r="D31" i="13"/>
  <c r="D30" i="13"/>
  <c r="D35" i="13"/>
  <c r="D7" i="13"/>
  <c r="AD40" i="13" l="1"/>
  <c r="AB40" i="13"/>
  <c r="Z40" i="13"/>
  <c r="V35" i="13"/>
  <c r="AF35" i="13" s="1"/>
  <c r="AD39" i="13"/>
  <c r="AB39" i="13"/>
  <c r="Z39" i="13"/>
  <c r="B33" i="13"/>
  <c r="V33" i="13" s="1"/>
  <c r="AF39" i="13"/>
  <c r="AH39" i="13"/>
  <c r="AN39" i="13"/>
  <c r="AP39" i="13"/>
  <c r="AR39" i="13"/>
  <c r="AL39" i="13"/>
  <c r="AJ39" i="13"/>
  <c r="AU39" i="13"/>
  <c r="AL40" i="13"/>
  <c r="AP40" i="13"/>
  <c r="AH40" i="13"/>
  <c r="AF40" i="13"/>
  <c r="AN40" i="13"/>
  <c r="AR40" i="13"/>
  <c r="AJ40" i="13"/>
  <c r="AU40" i="13"/>
  <c r="AJ37" i="13"/>
  <c r="AB37" i="13"/>
  <c r="Z11" i="13"/>
  <c r="AB11" i="13"/>
  <c r="V14" i="13"/>
  <c r="AB42" i="13"/>
  <c r="Z42" i="13"/>
  <c r="AB12" i="13"/>
  <c r="Z12" i="13"/>
  <c r="AL12" i="13"/>
  <c r="AH11" i="13"/>
  <c r="V10" i="13"/>
  <c r="AN10" i="13" s="1"/>
  <c r="AF11" i="13"/>
  <c r="AN11" i="13"/>
  <c r="AP11" i="13"/>
  <c r="AL11" i="13"/>
  <c r="AR11" i="13"/>
  <c r="AJ11" i="13"/>
  <c r="AU11" i="13"/>
  <c r="V15" i="13"/>
  <c r="V31" i="13"/>
  <c r="AL37" i="13"/>
  <c r="Z37" i="13"/>
  <c r="AH37" i="13"/>
  <c r="V32" i="13"/>
  <c r="Z32" i="13" s="1"/>
  <c r="AN37" i="13"/>
  <c r="AP37" i="13"/>
  <c r="AB35" i="13"/>
  <c r="Z35" i="13"/>
  <c r="V38" i="13"/>
  <c r="V30" i="13"/>
  <c r="Z36" i="13"/>
  <c r="AB36" i="13"/>
  <c r="V34" i="13"/>
  <c r="AN34" i="13" s="1"/>
  <c r="AP36" i="13"/>
  <c r="AH36" i="13"/>
  <c r="AF36" i="13"/>
  <c r="AL36" i="13"/>
  <c r="AU36" i="13"/>
  <c r="AN36" i="13"/>
  <c r="AR36" i="13"/>
  <c r="AJ36" i="13"/>
  <c r="AF42" i="13"/>
  <c r="R7" i="13"/>
  <c r="S7" i="13" s="1"/>
  <c r="AF37" i="13"/>
  <c r="AR37" i="13"/>
  <c r="AU37" i="13"/>
  <c r="AL42" i="13"/>
  <c r="AJ42" i="13"/>
  <c r="AN42" i="13"/>
  <c r="AH42" i="13"/>
  <c r="AU42" i="13"/>
  <c r="AR42" i="13"/>
  <c r="AP42" i="13"/>
  <c r="AU35" i="13"/>
  <c r="AP35" i="13"/>
  <c r="V9" i="13"/>
  <c r="Z9" i="13" s="1"/>
  <c r="V8" i="13"/>
  <c r="V13" i="13"/>
  <c r="AJ12" i="13"/>
  <c r="AH12" i="13"/>
  <c r="AF12" i="13"/>
  <c r="AU12" i="13"/>
  <c r="AR12" i="13"/>
  <c r="AN12" i="13"/>
  <c r="AP12" i="13"/>
  <c r="AL35" i="13" l="1"/>
  <c r="AJ35" i="13"/>
  <c r="AN35" i="13"/>
  <c r="AH35" i="13"/>
  <c r="AD14" i="13"/>
  <c r="AB14" i="13"/>
  <c r="Z14" i="13"/>
  <c r="AD15" i="13"/>
  <c r="AB15" i="13"/>
  <c r="Z15" i="13"/>
  <c r="AD13" i="13"/>
  <c r="AB13" i="13"/>
  <c r="AR35" i="13"/>
  <c r="AR33" i="13"/>
  <c r="AN33" i="13"/>
  <c r="AJ33" i="13"/>
  <c r="AF33" i="13"/>
  <c r="Z33" i="13"/>
  <c r="AB33" i="13"/>
  <c r="AH33" i="13"/>
  <c r="AP33" i="13"/>
  <c r="AL33" i="13"/>
  <c r="AU33" i="13"/>
  <c r="AF13" i="13"/>
  <c r="AL13" i="13"/>
  <c r="AN13" i="13"/>
  <c r="AP13" i="13"/>
  <c r="AR13" i="13"/>
  <c r="AH13" i="13"/>
  <c r="U7" i="13"/>
  <c r="B7" i="13" s="1"/>
  <c r="AJ14" i="13"/>
  <c r="AH14" i="13"/>
  <c r="AF14" i="13"/>
  <c r="AR14" i="13"/>
  <c r="AN14" i="13"/>
  <c r="AL14" i="13"/>
  <c r="AP14" i="13"/>
  <c r="AU14" i="13"/>
  <c r="AL15" i="13"/>
  <c r="AJ15" i="13"/>
  <c r="AH15" i="13"/>
  <c r="AN15" i="13"/>
  <c r="AF15" i="13"/>
  <c r="AR15" i="13"/>
  <c r="AP15" i="13"/>
  <c r="AU15" i="13"/>
  <c r="AB38" i="13"/>
  <c r="Z38" i="13"/>
  <c r="Z13" i="13"/>
  <c r="AR10" i="13"/>
  <c r="AU10" i="13"/>
  <c r="AB10" i="13"/>
  <c r="AJ10" i="13"/>
  <c r="AL38" i="13"/>
  <c r="AJ38" i="13"/>
  <c r="AH38" i="13"/>
  <c r="AF38" i="13"/>
  <c r="AH10" i="13"/>
  <c r="AP10" i="13"/>
  <c r="AF10" i="13"/>
  <c r="AL10" i="13"/>
  <c r="Z31" i="13"/>
  <c r="Z10" i="13"/>
  <c r="AB31" i="13"/>
  <c r="AF31" i="13"/>
  <c r="AB32" i="13"/>
  <c r="AP34" i="13"/>
  <c r="AF34" i="13"/>
  <c r="AH8" i="13"/>
  <c r="Z8" i="13"/>
  <c r="AH34" i="13"/>
  <c r="AU34" i="13"/>
  <c r="AB34" i="13"/>
  <c r="Z34" i="13"/>
  <c r="AJ34" i="13"/>
  <c r="AB30" i="13"/>
  <c r="Z30" i="13"/>
  <c r="AU30" i="13"/>
  <c r="AL34" i="13"/>
  <c r="AR34" i="13"/>
  <c r="AR30" i="13"/>
  <c r="AP38" i="13"/>
  <c r="AU38" i="13"/>
  <c r="AL30" i="13"/>
  <c r="AN30" i="13"/>
  <c r="AP30" i="13"/>
  <c r="AR38" i="13"/>
  <c r="AN38" i="13"/>
  <c r="AJ9" i="13"/>
  <c r="AN8" i="13"/>
  <c r="AL9" i="13"/>
  <c r="AU8" i="13"/>
  <c r="AP8" i="13"/>
  <c r="AR8" i="13"/>
  <c r="AB9" i="13"/>
  <c r="AR9" i="13"/>
  <c r="AH30" i="13"/>
  <c r="AF30" i="13"/>
  <c r="AJ30" i="13"/>
  <c r="AL32" i="13"/>
  <c r="AH32" i="13"/>
  <c r="AF32" i="13"/>
  <c r="AU32" i="13"/>
  <c r="AR32" i="13"/>
  <c r="AJ32" i="13"/>
  <c r="AP32" i="13"/>
  <c r="AN32" i="13"/>
  <c r="AP31" i="13"/>
  <c r="AN31" i="13"/>
  <c r="AL31" i="13"/>
  <c r="AU31" i="13"/>
  <c r="AR31" i="13"/>
  <c r="AH31" i="13"/>
  <c r="AJ31" i="13"/>
  <c r="AH9" i="13"/>
  <c r="AU9" i="13"/>
  <c r="AP9" i="13"/>
  <c r="AF8" i="13"/>
  <c r="AJ8" i="13"/>
  <c r="AB8" i="13"/>
  <c r="AL8" i="13"/>
  <c r="AF9" i="13"/>
  <c r="AN9" i="13"/>
  <c r="AJ13" i="13"/>
  <c r="AU13" i="13"/>
  <c r="B3" i="13" l="1"/>
  <c r="F2" i="13" l="1"/>
  <c r="N1" i="2"/>
  <c r="M1" i="2"/>
  <c r="L1" i="2"/>
  <c r="K1" i="2"/>
  <c r="J1" i="2"/>
  <c r="I1" i="2"/>
  <c r="H1" i="2"/>
  <c r="G1" i="2"/>
  <c r="F1" i="2"/>
  <c r="F3" i="2" s="1"/>
  <c r="E1" i="2"/>
  <c r="E3" i="2" s="1"/>
  <c r="D1" i="2"/>
  <c r="C1" i="2"/>
  <c r="P6" i="13"/>
  <c r="V7" i="13"/>
  <c r="O5" i="13"/>
  <c r="U5" i="13" s="1"/>
  <c r="C3" i="2" l="1"/>
  <c r="C24" i="2"/>
  <c r="D3" i="2"/>
  <c r="D24" i="2"/>
  <c r="G3" i="2"/>
  <c r="G24" i="2"/>
  <c r="H3" i="2"/>
  <c r="H24" i="2"/>
  <c r="I3" i="2"/>
  <c r="I24" i="2"/>
  <c r="J3" i="2"/>
  <c r="J24" i="2"/>
  <c r="K3" i="2"/>
  <c r="K24" i="2"/>
  <c r="L3" i="2"/>
  <c r="L24" i="2"/>
  <c r="M3" i="2"/>
  <c r="M24" i="2"/>
  <c r="N3" i="2"/>
  <c r="N24" i="2"/>
  <c r="Z7" i="13"/>
  <c r="F24" i="2" s="1"/>
  <c r="AT7" i="13"/>
  <c r="E26" i="2"/>
  <c r="O6" i="13"/>
  <c r="E8" i="2"/>
  <c r="C26" i="2"/>
  <c r="H26" i="2"/>
  <c r="I26" i="2"/>
  <c r="M26" i="2"/>
  <c r="D26" i="2"/>
  <c r="F5" i="2"/>
  <c r="F26" i="2"/>
  <c r="G26" i="2"/>
  <c r="J26" i="2"/>
  <c r="K26" i="2"/>
  <c r="L26" i="2"/>
  <c r="N26" i="2"/>
  <c r="C5" i="2"/>
  <c r="C40" i="2"/>
  <c r="C30" i="2" s="1"/>
  <c r="C33" i="2"/>
  <c r="H5" i="2"/>
  <c r="H33" i="2"/>
  <c r="I5" i="2"/>
  <c r="I33" i="2"/>
  <c r="J5" i="2"/>
  <c r="J33" i="2"/>
  <c r="L5" i="2"/>
  <c r="L33" i="2"/>
  <c r="M5" i="2"/>
  <c r="M33" i="2"/>
  <c r="D5" i="2"/>
  <c r="D33" i="2"/>
  <c r="G5" i="2"/>
  <c r="G33" i="2"/>
  <c r="K5" i="2"/>
  <c r="K33" i="2"/>
  <c r="N5" i="2"/>
  <c r="E5" i="2"/>
  <c r="C4" i="2"/>
  <c r="E4" i="2"/>
  <c r="F4" i="2"/>
  <c r="H4" i="2"/>
  <c r="J4" i="2"/>
  <c r="K4" i="2"/>
  <c r="N4" i="2"/>
  <c r="D4" i="2"/>
  <c r="G4" i="2"/>
  <c r="I4" i="2"/>
  <c r="L4" i="2"/>
  <c r="M4" i="2"/>
  <c r="H8" i="2"/>
  <c r="C8" i="2"/>
  <c r="F8" i="2"/>
  <c r="M8" i="2"/>
  <c r="D8" i="2"/>
  <c r="G8" i="2"/>
  <c r="I8" i="2"/>
  <c r="J8" i="2"/>
  <c r="K8" i="2"/>
  <c r="L8" i="2"/>
  <c r="N8" i="2"/>
  <c r="D23" i="2"/>
  <c r="D22" i="2"/>
  <c r="G23" i="2"/>
  <c r="G22" i="2"/>
  <c r="K23" i="2"/>
  <c r="K22" i="2"/>
  <c r="C23" i="2"/>
  <c r="C22" i="2"/>
  <c r="E23" i="2"/>
  <c r="F23" i="2"/>
  <c r="F22" i="2"/>
  <c r="H23" i="2"/>
  <c r="H22" i="2"/>
  <c r="I23" i="2"/>
  <c r="I22" i="2"/>
  <c r="J23" i="2"/>
  <c r="J22" i="2"/>
  <c r="L23" i="2"/>
  <c r="L22" i="2"/>
  <c r="M23" i="2"/>
  <c r="M22" i="2"/>
  <c r="N23" i="2"/>
  <c r="N22" i="2"/>
  <c r="D28" i="2"/>
  <c r="I28" i="2"/>
  <c r="L28" i="2"/>
  <c r="M28" i="2"/>
  <c r="N28" i="2"/>
  <c r="Q6" i="13"/>
  <c r="M29" i="2"/>
  <c r="N29" i="2"/>
  <c r="D6" i="13"/>
  <c r="AJ7" i="13"/>
  <c r="F29" i="2" s="1"/>
  <c r="AH7" i="13"/>
  <c r="F28" i="2" s="1"/>
  <c r="AP7" i="13"/>
  <c r="AN7" i="13"/>
  <c r="AF7" i="13"/>
  <c r="AB7" i="13"/>
  <c r="AU7" i="13"/>
  <c r="F19" i="2" s="1"/>
  <c r="AR7" i="13"/>
  <c r="F33" i="2" s="1"/>
  <c r="AL7" i="13"/>
  <c r="B3" i="2" l="1"/>
  <c r="B26" i="2"/>
  <c r="B23" i="2"/>
  <c r="F20" i="2"/>
  <c r="B5" i="2"/>
  <c r="B4" i="2"/>
  <c r="R6" i="13"/>
  <c r="M19" i="2"/>
  <c r="M20" i="2" s="1"/>
  <c r="N19" i="2"/>
  <c r="D5" i="13"/>
  <c r="S6" i="13" l="1"/>
  <c r="E22" i="2" s="1"/>
  <c r="B22" i="2" s="1"/>
  <c r="N20" i="2"/>
  <c r="D19" i="2"/>
  <c r="D29" i="2"/>
  <c r="V5" i="13"/>
  <c r="Z5" i="13" s="1"/>
  <c r="U6" i="13" l="1"/>
  <c r="B6" i="13" s="1"/>
  <c r="V6" i="13" s="1"/>
  <c r="D20" i="2"/>
  <c r="AJ5" i="13"/>
  <c r="AU5" i="13"/>
  <c r="C19" i="2" s="1"/>
  <c r="C20" i="2" s="1"/>
  <c r="K29" i="2"/>
  <c r="L29" i="2"/>
  <c r="J29" i="2"/>
  <c r="I29" i="2"/>
  <c r="AP5" i="13"/>
  <c r="C31" i="2" s="1"/>
  <c r="AF5" i="13"/>
  <c r="AB5" i="13"/>
  <c r="AL5" i="13"/>
  <c r="AN5" i="13"/>
  <c r="AR5" i="13"/>
  <c r="AH5" i="13"/>
  <c r="AR6" i="13" l="1"/>
  <c r="E33" i="2" s="1"/>
  <c r="B33" i="2" s="1"/>
  <c r="AT6" i="13"/>
  <c r="C28" i="2"/>
  <c r="AB6" i="13"/>
  <c r="AU6" i="13"/>
  <c r="E19" i="2" s="1"/>
  <c r="AP6" i="13"/>
  <c r="AN6" i="13"/>
  <c r="AL6" i="13"/>
  <c r="AH6" i="13"/>
  <c r="E28" i="2" s="1"/>
  <c r="AJ6" i="13"/>
  <c r="E29" i="2" s="1"/>
  <c r="AF6" i="13"/>
  <c r="Z6" i="13"/>
  <c r="E24" i="2" s="1"/>
  <c r="B24" i="2" s="1"/>
  <c r="G29" i="2"/>
  <c r="C29" i="2"/>
  <c r="H29" i="2"/>
  <c r="K19" i="2"/>
  <c r="I19" i="2"/>
  <c r="J19" i="2"/>
  <c r="B29" i="2" l="1"/>
  <c r="B28" i="2"/>
  <c r="E20" i="2"/>
  <c r="I20" i="2"/>
  <c r="K20" i="2"/>
  <c r="J20" i="2"/>
  <c r="H19" i="2"/>
  <c r="G19" i="2"/>
  <c r="L19" i="2"/>
  <c r="G20" i="2" l="1"/>
  <c r="L20" i="2"/>
  <c r="H20" i="2"/>
  <c r="B19" i="2"/>
  <c r="B20" i="2" l="1"/>
  <c r="B8" i="2"/>
  <c r="A33" i="2" l="1"/>
  <c r="A32" i="2"/>
  <c r="A31" i="2"/>
  <c r="A30" i="2"/>
  <c r="A28" i="2"/>
  <c r="A27" i="2"/>
  <c r="A24" i="2"/>
  <c r="D32" i="2" l="1"/>
  <c r="D31" i="2"/>
  <c r="D27" i="2"/>
  <c r="J40" i="2" l="1"/>
  <c r="J30" i="2" s="1"/>
  <c r="N40" i="2"/>
  <c r="N30" i="2" s="1"/>
  <c r="F27" i="2"/>
  <c r="C27" i="2"/>
  <c r="C32" i="2"/>
  <c r="F32" i="2"/>
  <c r="E39" i="2"/>
  <c r="M39" i="2"/>
  <c r="D40" i="2"/>
  <c r="D30" i="2" s="1"/>
  <c r="E40" i="2"/>
  <c r="E30" i="2" s="1"/>
  <c r="F40" i="2"/>
  <c r="F30" i="2" s="1"/>
  <c r="H40" i="2"/>
  <c r="H30" i="2" s="1"/>
  <c r="I40" i="2"/>
  <c r="I30" i="2" s="1"/>
  <c r="K40" i="2"/>
  <c r="K30" i="2" s="1"/>
  <c r="L40" i="2"/>
  <c r="L30" i="2" s="1"/>
  <c r="M40" i="2"/>
  <c r="M30" i="2" s="1"/>
  <c r="D41" i="2"/>
  <c r="E41" i="2"/>
  <c r="F41" i="2"/>
  <c r="G41" i="2"/>
  <c r="H41" i="2"/>
  <c r="I41" i="2"/>
  <c r="J41" i="2"/>
  <c r="K41" i="2"/>
  <c r="L41" i="2"/>
  <c r="M41" i="2"/>
  <c r="N41" i="2"/>
  <c r="D42" i="2"/>
  <c r="E42" i="2"/>
  <c r="F42" i="2"/>
  <c r="G42" i="2"/>
  <c r="H42" i="2"/>
  <c r="I42" i="2"/>
  <c r="J42" i="2"/>
  <c r="K42" i="2"/>
  <c r="L42" i="2"/>
  <c r="M42" i="2"/>
  <c r="N42" i="2"/>
  <c r="E43" i="2"/>
  <c r="F43" i="2"/>
  <c r="G43" i="2"/>
  <c r="H43" i="2"/>
  <c r="I43" i="2"/>
  <c r="J43" i="2"/>
  <c r="K43" i="2"/>
  <c r="L43" i="2"/>
  <c r="M43" i="2"/>
  <c r="N43" i="2"/>
  <c r="E44" i="2"/>
  <c r="F44" i="2"/>
  <c r="G44" i="2"/>
  <c r="H44" i="2"/>
  <c r="I44" i="2"/>
  <c r="J44" i="2"/>
  <c r="K44" i="2"/>
  <c r="L44" i="2"/>
  <c r="M44" i="2"/>
  <c r="N44" i="2"/>
  <c r="D45" i="2"/>
  <c r="E45" i="2"/>
  <c r="F45" i="2"/>
  <c r="G45" i="2"/>
  <c r="H45" i="2"/>
  <c r="I45" i="2"/>
  <c r="J45" i="2"/>
  <c r="K45" i="2"/>
  <c r="L45" i="2"/>
  <c r="M45" i="2"/>
  <c r="N45" i="2"/>
  <c r="M46" i="2"/>
  <c r="N46" i="2"/>
  <c r="D47" i="2"/>
  <c r="E47" i="2"/>
  <c r="F47" i="2"/>
  <c r="G47" i="2"/>
  <c r="H47" i="2"/>
  <c r="I47" i="2"/>
  <c r="J47" i="2"/>
  <c r="K47" i="2"/>
  <c r="L47" i="2"/>
  <c r="M47" i="2"/>
  <c r="N47" i="2"/>
  <c r="C41" i="2"/>
  <c r="C42" i="2"/>
  <c r="C43" i="2"/>
  <c r="C44" i="2"/>
  <c r="C45" i="2"/>
  <c r="C47" i="2"/>
  <c r="H32" i="2" l="1"/>
  <c r="H31" i="2"/>
  <c r="L27" i="2"/>
  <c r="J27" i="2"/>
  <c r="G40" i="2"/>
  <c r="H27" i="2"/>
  <c r="I31" i="2"/>
  <c r="F31" i="2"/>
  <c r="L32" i="2"/>
  <c r="N39" i="2"/>
  <c r="D44" i="2"/>
  <c r="G30" i="2" l="1"/>
  <c r="B30" i="2" s="1"/>
  <c r="N27" i="2"/>
  <c r="J32" i="2"/>
  <c r="K32" i="2"/>
  <c r="M32" i="2"/>
  <c r="J31" i="2"/>
  <c r="I27" i="2"/>
  <c r="K31" i="2"/>
  <c r="M31" i="2"/>
  <c r="L31" i="2"/>
  <c r="K27" i="2"/>
  <c r="M27" i="2"/>
  <c r="I32" i="2"/>
  <c r="E31" i="2"/>
  <c r="E32" i="2"/>
  <c r="E27" i="2"/>
  <c r="N32" i="2"/>
  <c r="N38" i="2"/>
  <c r="N25" i="2" s="1"/>
  <c r="M38" i="2"/>
  <c r="M25" i="2" s="1"/>
  <c r="D43" i="2"/>
  <c r="M35" i="2" l="1"/>
  <c r="G31" i="2"/>
  <c r="G32" i="2"/>
  <c r="B32" i="2" s="1"/>
  <c r="G27" i="2"/>
  <c r="B27" i="2" s="1"/>
  <c r="N31" i="2"/>
  <c r="E38" i="2"/>
  <c r="E25" i="2" s="1"/>
  <c r="E35" i="2" s="1"/>
  <c r="B31" i="2" l="1"/>
  <c r="N35" i="2"/>
  <c r="G38" i="2"/>
  <c r="G25" i="2" s="1"/>
  <c r="G35" i="2" s="1"/>
  <c r="I38" i="2"/>
  <c r="I25" i="2" s="1"/>
  <c r="F38" i="2"/>
  <c r="F25" i="2" s="1"/>
  <c r="F35" i="2" s="1"/>
  <c r="L38" i="2"/>
  <c r="F46" i="2"/>
  <c r="L25" i="2" l="1"/>
  <c r="L35" i="2" s="1"/>
  <c r="I35" i="2"/>
  <c r="I39" i="2"/>
  <c r="L39" i="2"/>
  <c r="F39" i="2"/>
  <c r="J46" i="2"/>
  <c r="J39" i="2"/>
  <c r="G46" i="2"/>
  <c r="G39" i="2"/>
  <c r="D38" i="2"/>
  <c r="D25" i="2" s="1"/>
  <c r="D35" i="2" s="1"/>
  <c r="L46" i="2"/>
  <c r="J38" i="2"/>
  <c r="J25" i="2" s="1"/>
  <c r="J35" i="2" s="1"/>
  <c r="I46" i="2"/>
  <c r="H38" i="2"/>
  <c r="H25" i="2" s="1"/>
  <c r="H35" i="2" s="1"/>
  <c r="E46" i="2"/>
  <c r="D46" i="2" l="1"/>
  <c r="D39" i="2"/>
  <c r="K46" i="2"/>
  <c r="K39" i="2"/>
  <c r="H46" i="2"/>
  <c r="H39" i="2"/>
  <c r="K38" i="2"/>
  <c r="K25" i="2" s="1"/>
  <c r="K35" i="2" s="1"/>
  <c r="C39" i="2" l="1"/>
  <c r="C46" i="2" l="1"/>
  <c r="C38" i="2" l="1"/>
  <c r="C25" i="2" s="1"/>
  <c r="B25" i="2" s="1"/>
  <c r="A38" i="2"/>
  <c r="C35" i="2" l="1"/>
  <c r="B35" i="2" s="1"/>
  <c r="B40" i="2"/>
  <c r="B41" i="2"/>
  <c r="B47" i="2"/>
  <c r="B42" i="2" l="1"/>
  <c r="B45" i="2" l="1"/>
  <c r="B46" i="2" l="1"/>
  <c r="B38" i="2"/>
  <c r="B44" i="2"/>
  <c r="B43" i="2" l="1"/>
  <c r="B39" i="2" l="1"/>
</calcChain>
</file>

<file path=xl/sharedStrings.xml><?xml version="1.0" encoding="utf-8"?>
<sst xmlns="http://schemas.openxmlformats.org/spreadsheetml/2006/main" count="1121" uniqueCount="191">
  <si>
    <t>Fred</t>
  </si>
  <si>
    <t>Avril</t>
  </si>
  <si>
    <t>Mai</t>
  </si>
  <si>
    <t>Janvier</t>
  </si>
  <si>
    <t>Février</t>
  </si>
  <si>
    <t>Mars</t>
  </si>
  <si>
    <t>Juin</t>
  </si>
  <si>
    <t>Juillet</t>
  </si>
  <si>
    <t>Août</t>
  </si>
  <si>
    <t>Septembre</t>
  </si>
  <si>
    <t>Octobre</t>
  </si>
  <si>
    <t>Novembre</t>
  </si>
  <si>
    <t>Décembre</t>
  </si>
  <si>
    <t>OUI</t>
  </si>
  <si>
    <t>NON</t>
  </si>
  <si>
    <t>ANNEE</t>
  </si>
  <si>
    <t>Apporteur</t>
  </si>
  <si>
    <t>Client</t>
  </si>
  <si>
    <t>Mission</t>
  </si>
  <si>
    <t>Mois</t>
  </si>
  <si>
    <t>Frais</t>
  </si>
  <si>
    <t>Etsivous</t>
  </si>
  <si>
    <t>Donovan</t>
  </si>
  <si>
    <t>APPORTEURS</t>
  </si>
  <si>
    <t>Gestion</t>
  </si>
  <si>
    <t>Réglé</t>
  </si>
  <si>
    <t>Agence</t>
  </si>
  <si>
    <t>Na Oya</t>
  </si>
  <si>
    <t>Hervé</t>
  </si>
  <si>
    <t>Parrain</t>
  </si>
  <si>
    <t>Dono</t>
  </si>
  <si>
    <t>Eric</t>
  </si>
  <si>
    <t>Aupus</t>
  </si>
  <si>
    <t>Apport</t>
  </si>
  <si>
    <t>Parr</t>
  </si>
  <si>
    <t>Adrian</t>
  </si>
  <si>
    <t>Camping</t>
  </si>
  <si>
    <t>Vero</t>
  </si>
  <si>
    <t>Colpa</t>
  </si>
  <si>
    <t>Granit</t>
  </si>
  <si>
    <t>Limeo</t>
  </si>
  <si>
    <t>Argan</t>
  </si>
  <si>
    <t>WineMoment</t>
  </si>
  <si>
    <t>B&amp;A</t>
  </si>
  <si>
    <t>x</t>
  </si>
  <si>
    <t>1paKt</t>
  </si>
  <si>
    <t>kdekom</t>
  </si>
  <si>
    <t>LeanMgt</t>
  </si>
  <si>
    <t>Reliquat</t>
  </si>
  <si>
    <t>Ml</t>
  </si>
  <si>
    <t>Lt</t>
  </si>
  <si>
    <t>Hakim</t>
  </si>
  <si>
    <t>Acte</t>
  </si>
  <si>
    <t>Olivier</t>
  </si>
  <si>
    <t>Avant</t>
  </si>
  <si>
    <t>Da 1</t>
  </si>
  <si>
    <t>Da 2</t>
  </si>
  <si>
    <t>Da 3</t>
  </si>
  <si>
    <t>Da 4</t>
  </si>
  <si>
    <t>Da 5</t>
  </si>
  <si>
    <t>Da 6</t>
  </si>
  <si>
    <t>Da 7</t>
  </si>
  <si>
    <t>Da 8</t>
  </si>
  <si>
    <t>Da 9</t>
  </si>
  <si>
    <t>Da 10</t>
  </si>
  <si>
    <t>Da 11</t>
  </si>
  <si>
    <t>Da 12</t>
  </si>
  <si>
    <t>Camcha</t>
  </si>
  <si>
    <t>contrat Da</t>
  </si>
  <si>
    <t>Contrat DA</t>
  </si>
  <si>
    <t>Naomi</t>
  </si>
  <si>
    <t>Dette Juillet</t>
  </si>
  <si>
    <t>Max</t>
  </si>
  <si>
    <t>Sns</t>
  </si>
  <si>
    <t>Julie</t>
  </si>
  <si>
    <t>J.Seb</t>
  </si>
  <si>
    <t>Cost 1</t>
  </si>
  <si>
    <t>Cost 2</t>
  </si>
  <si>
    <t>Cost 3</t>
  </si>
  <si>
    <t>Cost 4</t>
  </si>
  <si>
    <t>Cost 5</t>
  </si>
  <si>
    <t>Cost 6</t>
  </si>
  <si>
    <t>Cost 7</t>
  </si>
  <si>
    <t>Cost 8</t>
  </si>
  <si>
    <t>Cost 9</t>
  </si>
  <si>
    <t>Cost 10</t>
  </si>
  <si>
    <t>Cost 11</t>
  </si>
  <si>
    <t>Cost 12</t>
  </si>
  <si>
    <t>Dette début</t>
  </si>
  <si>
    <t>Dette 1000</t>
  </si>
  <si>
    <t>L'Agence</t>
  </si>
  <si>
    <t>Logos</t>
  </si>
  <si>
    <t>Frais Pkf Bourlon</t>
  </si>
  <si>
    <t>Facture com Néo</t>
  </si>
  <si>
    <t>Prime Geraldine</t>
  </si>
  <si>
    <t>Site Wix</t>
  </si>
  <si>
    <t>Avance Hakim</t>
  </si>
  <si>
    <t>Création l'agence</t>
  </si>
  <si>
    <t>avance PKF</t>
  </si>
  <si>
    <t>Gregoire</t>
  </si>
  <si>
    <t>Appli hugo 08</t>
  </si>
  <si>
    <t>Appli hugo 09</t>
  </si>
  <si>
    <t>Stamina</t>
  </si>
  <si>
    <t>Aupus Paie</t>
  </si>
  <si>
    <t>Camcha Décla Da</t>
  </si>
  <si>
    <t>Adrian Décla Da</t>
  </si>
  <si>
    <t>Compta Lean</t>
  </si>
  <si>
    <t>PdF Bourlon</t>
  </si>
  <si>
    <t>PdF Granit</t>
  </si>
  <si>
    <t>Porteur Granit</t>
  </si>
  <si>
    <t>PdF Hestia</t>
  </si>
  <si>
    <t>Robot Damien</t>
  </si>
  <si>
    <t>Robot Granit</t>
  </si>
  <si>
    <t>PdF Eric</t>
  </si>
  <si>
    <t>CM Hugo</t>
  </si>
  <si>
    <t>CM Colpa</t>
  </si>
  <si>
    <t>Jessica</t>
  </si>
  <si>
    <t>hugo</t>
  </si>
  <si>
    <t>Annick</t>
  </si>
  <si>
    <t>Lean</t>
  </si>
  <si>
    <t>L'agence</t>
  </si>
  <si>
    <t>Transfo Lean</t>
  </si>
  <si>
    <t>Décla DA Lean</t>
  </si>
  <si>
    <t>Compta Annick</t>
  </si>
  <si>
    <t>Damien</t>
  </si>
  <si>
    <t>Cru Godard</t>
  </si>
  <si>
    <t>Hugo Compta</t>
  </si>
  <si>
    <t>Hugo 9% Compta</t>
  </si>
  <si>
    <t>Aupus 9% Compta</t>
  </si>
  <si>
    <t>Hakim Compta</t>
  </si>
  <si>
    <t>PdF Lean</t>
  </si>
  <si>
    <t>PdF Cru Godard</t>
  </si>
  <si>
    <t>PdF Polygone</t>
  </si>
  <si>
    <t>PdF Hervé</t>
  </si>
  <si>
    <t>site Web hugo</t>
  </si>
  <si>
    <t>site Web Lean</t>
  </si>
  <si>
    <t>Psb Forma</t>
  </si>
  <si>
    <t>Hugo Decla DA</t>
  </si>
  <si>
    <t>Sns 9%</t>
  </si>
  <si>
    <t>Reliquat Granit</t>
  </si>
  <si>
    <t>CM Kdekom</t>
  </si>
  <si>
    <t>Téléphone</t>
  </si>
  <si>
    <t>Quicbooks</t>
  </si>
  <si>
    <t>Wize</t>
  </si>
  <si>
    <t>Reste</t>
  </si>
  <si>
    <t>CA Total</t>
  </si>
  <si>
    <t>CA Payé</t>
  </si>
  <si>
    <t>Provision Charges</t>
  </si>
  <si>
    <t>Eric A</t>
  </si>
  <si>
    <t>KdeKom</t>
  </si>
  <si>
    <t>Consultant</t>
  </si>
  <si>
    <t>100Tretiens</t>
  </si>
  <si>
    <t>1talent</t>
  </si>
  <si>
    <t>Hugo</t>
  </si>
  <si>
    <t>TheMain</t>
  </si>
  <si>
    <t>Google</t>
  </si>
  <si>
    <t>Amazon</t>
  </si>
  <si>
    <t>Dom</t>
  </si>
  <si>
    <t>Compta Grégoire</t>
  </si>
  <si>
    <t>Cost salarié</t>
  </si>
  <si>
    <t>Gym&amp;Eau</t>
  </si>
  <si>
    <t>Bourlon</t>
  </si>
  <si>
    <t>Hestia</t>
  </si>
  <si>
    <t>Boom</t>
  </si>
  <si>
    <t>Polygone</t>
  </si>
  <si>
    <t>Arthemis</t>
  </si>
  <si>
    <t>Psb</t>
  </si>
  <si>
    <t>Okto</t>
  </si>
  <si>
    <t>Transflexifarma</t>
  </si>
  <si>
    <t>Balducci</t>
  </si>
  <si>
    <t>Multinet</t>
  </si>
  <si>
    <t>Compta Kdekom</t>
  </si>
  <si>
    <t>Pkf</t>
  </si>
  <si>
    <t>FulyFly</t>
  </si>
  <si>
    <t>Clik&amp;Teck</t>
  </si>
  <si>
    <t>Guillaume</t>
  </si>
  <si>
    <t>Site Hugo</t>
  </si>
  <si>
    <t>Site Granit</t>
  </si>
  <si>
    <t>Site Aupus</t>
  </si>
  <si>
    <t>€</t>
  </si>
  <si>
    <t>€€</t>
  </si>
  <si>
    <t>f de Paie Lean</t>
  </si>
  <si>
    <t>contrat travail Lean</t>
  </si>
  <si>
    <t>CA Generé</t>
  </si>
  <si>
    <t>Thomas</t>
  </si>
  <si>
    <t>Jean Seb</t>
  </si>
  <si>
    <t>Contrat Da</t>
  </si>
  <si>
    <t>Prêt Perso</t>
  </si>
  <si>
    <t>"</t>
  </si>
  <si>
    <t>Dette 2500</t>
  </si>
  <si>
    <t>Maitre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</si>
</sst>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  <font>
      <sz val="10"/>
      <color theme="0"/>
      <name val="Century Gothic"/>
      <family val="2"/>
    </font>
    <font>
      <i/>
      <sz val="10"/>
      <color theme="0"/>
      <name val="Century Gothic"/>
      <family val="2"/>
    </font>
    <font>
      <i/>
      <sz val="10"/>
      <name val="Century Gothic"/>
      <family val="2"/>
    </font>
    <font>
      <sz val="10"/>
      <color theme="0" tint="-0.249977111117893"/>
      <name val="Century Gothic"/>
      <family val="2"/>
    </font>
    <font>
      <b/>
      <sz val="10"/>
      <name val="Century Gothic"/>
      <family val="2"/>
    </font>
    <font>
      <sz val="10"/>
      <color rgb="FFFF0000"/>
      <name val="Century Gothic"/>
      <family val="2"/>
    </font>
    <font>
      <b/>
      <sz val="10"/>
      <color theme="0"/>
      <name val="Century Gothic"/>
      <family val="2"/>
    </font>
    <font>
      <sz val="10"/>
      <color theme="1" tint="0.499984740745262"/>
      <name val="Century Gothic"/>
      <family val="2"/>
    </font>
    <font>
      <i/>
      <sz val="10"/>
      <color theme="1" tint="0.499984740745262"/>
      <name val="Century Gothic"/>
      <family val="2"/>
    </font>
    <font>
      <sz val="10"/>
      <color theme="0" tint="-0.14999847407452621"/>
      <name val="Century Gothic"/>
      <family val="2"/>
    </font>
    <font>
      <i/>
      <sz val="10"/>
      <color theme="0" tint="-0.249977111117893"/>
      <name val="Century Gothic"/>
      <family val="2"/>
    </font>
    <font>
      <b/>
      <sz val="10"/>
      <color theme="0" tint="-0.14999847407452621"/>
      <name val="Century Gothic"/>
      <family val="2"/>
    </font>
    <font>
      <sz val="10"/>
      <color theme="5" tint="0.39997558519241921"/>
      <name val="Century Gothic"/>
      <family val="2"/>
    </font>
    <font>
      <i/>
      <sz val="10"/>
      <color theme="0" tint="-0.14999847407452621"/>
      <name val="Century Gothic"/>
      <family val="2"/>
    </font>
    <font>
      <sz val="10"/>
      <color theme="0" tint="-4.9989318521683403E-2"/>
      <name val="Century Gothic"/>
      <family val="2"/>
    </font>
    <font>
      <b/>
      <sz val="10"/>
      <color theme="0" tint="-0.249977111117893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5D7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175E"/>
        <bgColor indexed="64"/>
      </patternFill>
    </fill>
    <fill>
      <patternFill patternType="solid">
        <fgColor rgb="FFCD52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9" fontId="7" fillId="0" borderId="0" xfId="1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9" fontId="8" fillId="0" borderId="0" xfId="1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9" fontId="11" fillId="0" borderId="0" xfId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3" xfId="0" applyNumberFormat="1" applyFont="1" applyFill="1" applyBorder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4" fontId="8" fillId="6" borderId="0" xfId="0" applyNumberFormat="1" applyFont="1" applyFill="1" applyAlignment="1">
      <alignment horizontal="center" vertical="center"/>
    </xf>
    <xf numFmtId="3" fontId="9" fillId="6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left" vertical="center"/>
    </xf>
    <xf numFmtId="4" fontId="7" fillId="4" borderId="0" xfId="0" applyNumberFormat="1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vertical="center"/>
    </xf>
    <xf numFmtId="1" fontId="4" fillId="3" borderId="0" xfId="0" applyNumberFormat="1" applyFont="1" applyFill="1" applyAlignment="1">
      <alignment vertical="center"/>
    </xf>
    <xf numFmtId="1" fontId="4" fillId="0" borderId="0" xfId="0" applyNumberFormat="1" applyFont="1" applyAlignment="1">
      <alignment vertical="center"/>
    </xf>
    <xf numFmtId="1" fontId="6" fillId="4" borderId="0" xfId="0" applyNumberFormat="1" applyFont="1" applyFill="1" applyAlignment="1">
      <alignment vertical="center"/>
    </xf>
    <xf numFmtId="1" fontId="12" fillId="4" borderId="0" xfId="0" applyNumberFormat="1" applyFont="1" applyFill="1" applyAlignment="1">
      <alignment vertical="center"/>
    </xf>
    <xf numFmtId="0" fontId="8" fillId="6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11" fillId="3" borderId="0" xfId="0" applyNumberFormat="1" applyFont="1" applyFill="1" applyAlignment="1">
      <alignment horizontal="center" vertical="center"/>
    </xf>
    <xf numFmtId="4" fontId="11" fillId="4" borderId="0" xfId="0" applyNumberFormat="1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4" fontId="8" fillId="6" borderId="0" xfId="0" applyNumberFormat="1" applyFont="1" applyFill="1" applyAlignment="1">
      <alignment horizontal="left" vertical="center"/>
    </xf>
    <xf numFmtId="4" fontId="15" fillId="3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4" fillId="8" borderId="0" xfId="1" applyFont="1" applyFill="1" applyAlignment="1">
      <alignment horizontal="center" vertical="center"/>
    </xf>
    <xf numFmtId="9" fontId="4" fillId="8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" fontId="16" fillId="0" borderId="0" xfId="0" applyNumberFormat="1" applyFont="1" applyAlignment="1">
      <alignment vertical="center"/>
    </xf>
    <xf numFmtId="1" fontId="15" fillId="0" borderId="0" xfId="0" applyNumberFormat="1" applyFont="1" applyAlignment="1">
      <alignment vertical="center"/>
    </xf>
    <xf numFmtId="3" fontId="15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9" fontId="17" fillId="0" borderId="0" xfId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" fontId="7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7" fillId="10" borderId="0" xfId="0" applyNumberFormat="1" applyFont="1" applyFill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3" fontId="7" fillId="11" borderId="0" xfId="0" applyNumberFormat="1" applyFont="1" applyFill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4" fontId="7" fillId="8" borderId="0" xfId="0" applyNumberFormat="1" applyFont="1" applyFill="1" applyAlignment="1">
      <alignment horizontal="center" vertical="center"/>
    </xf>
    <xf numFmtId="9" fontId="7" fillId="8" borderId="0" xfId="1" applyFont="1" applyFill="1" applyAlignment="1">
      <alignment horizontal="center" vertical="center"/>
    </xf>
    <xf numFmtId="3" fontId="10" fillId="8" borderId="0" xfId="0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vertical="center"/>
    </xf>
    <xf numFmtId="1" fontId="16" fillId="0" borderId="0" xfId="0" applyNumberFormat="1" applyFont="1" applyAlignment="1">
      <alignment horizontal="left" vertical="center"/>
    </xf>
    <xf numFmtId="1" fontId="20" fillId="0" borderId="0" xfId="0" applyNumberFormat="1" applyFont="1" applyAlignment="1">
      <alignment vertical="center"/>
    </xf>
    <xf numFmtId="4" fontId="18" fillId="0" borderId="0" xfId="0" applyNumberFormat="1" applyFont="1" applyAlignment="1">
      <alignment horizontal="center" vertical="center"/>
    </xf>
    <xf numFmtId="9" fontId="21" fillId="0" borderId="0" xfId="1" applyFont="1" applyFill="1" applyAlignment="1">
      <alignment horizontal="center" vertical="center"/>
    </xf>
    <xf numFmtId="9" fontId="4" fillId="0" borderId="0" xfId="1" applyFont="1" applyAlignment="1">
      <alignment horizontal="center" vertical="center"/>
    </xf>
    <xf numFmtId="4" fontId="8" fillId="6" borderId="4" xfId="0" applyNumberFormat="1" applyFont="1" applyFill="1" applyBorder="1" applyAlignment="1">
      <alignment horizontal="center" vertical="center"/>
    </xf>
    <xf numFmtId="4" fontId="8" fillId="6" borderId="5" xfId="0" applyNumberFormat="1" applyFont="1" applyFill="1" applyBorder="1" applyAlignment="1">
      <alignment horizontal="center" vertical="center"/>
    </xf>
    <xf numFmtId="4" fontId="8" fillId="6" borderId="6" xfId="0" applyNumberFormat="1" applyFont="1" applyFill="1" applyBorder="1" applyAlignment="1">
      <alignment horizontal="center" vertical="center"/>
    </xf>
    <xf numFmtId="4" fontId="8" fillId="6" borderId="7" xfId="0" applyNumberFormat="1" applyFont="1" applyFill="1" applyBorder="1" applyAlignment="1">
      <alignment horizontal="center" vertical="center"/>
    </xf>
    <xf numFmtId="1" fontId="22" fillId="0" borderId="0" xfId="0" applyNumberFormat="1" applyFont="1" applyAlignment="1">
      <alignment vertical="center"/>
    </xf>
    <xf numFmtId="3" fontId="8" fillId="13" borderId="0" xfId="0" applyNumberFormat="1" applyFont="1" applyFill="1" applyAlignment="1">
      <alignment horizontal="center" vertical="center"/>
    </xf>
    <xf numFmtId="3" fontId="9" fillId="13" borderId="0" xfId="0" applyNumberFormat="1" applyFont="1" applyFill="1" applyAlignment="1">
      <alignment horizontal="center" vertical="center"/>
    </xf>
    <xf numFmtId="4" fontId="8" fillId="13" borderId="0" xfId="0" applyNumberFormat="1" applyFont="1" applyFill="1" applyAlignment="1">
      <alignment horizontal="center" vertical="center"/>
    </xf>
    <xf numFmtId="9" fontId="8" fillId="13" borderId="0" xfId="1" applyFont="1" applyFill="1" applyAlignment="1">
      <alignment horizontal="center" vertical="center"/>
    </xf>
    <xf numFmtId="9" fontId="17" fillId="13" borderId="0" xfId="1" applyFont="1" applyFill="1" applyAlignment="1">
      <alignment horizontal="center" vertical="center"/>
    </xf>
    <xf numFmtId="3" fontId="4" fillId="13" borderId="0" xfId="0" applyNumberFormat="1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left" vertical="center"/>
    </xf>
    <xf numFmtId="4" fontId="4" fillId="13" borderId="0" xfId="0" applyNumberFormat="1" applyFont="1" applyFill="1" applyAlignment="1">
      <alignment horizontal="center" vertical="center"/>
    </xf>
    <xf numFmtId="1" fontId="4" fillId="13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3" fontId="8" fillId="12" borderId="0" xfId="0" applyNumberFormat="1" applyFont="1" applyFill="1" applyAlignment="1">
      <alignment horizontal="center" vertical="center"/>
    </xf>
    <xf numFmtId="3" fontId="14" fillId="13" borderId="0" xfId="0" applyNumberFormat="1" applyFont="1" applyFill="1" applyAlignment="1">
      <alignment horizontal="center" vertical="center"/>
    </xf>
    <xf numFmtId="9" fontId="14" fillId="13" borderId="0" xfId="1" applyFont="1" applyFill="1" applyAlignment="1">
      <alignment horizontal="center" vertical="center"/>
    </xf>
    <xf numFmtId="4" fontId="6" fillId="13" borderId="0" xfId="0" applyNumberFormat="1" applyFont="1" applyFill="1" applyAlignment="1">
      <alignment horizontal="center" vertical="center"/>
    </xf>
    <xf numFmtId="3" fontId="9" fillId="12" borderId="0" xfId="0" applyNumberFormat="1" applyFont="1" applyFill="1" applyAlignment="1">
      <alignment horizontal="center" vertical="center"/>
    </xf>
    <xf numFmtId="4" fontId="8" fillId="12" borderId="0" xfId="0" applyNumberFormat="1" applyFont="1" applyFill="1" applyAlignment="1">
      <alignment horizontal="center" vertical="center"/>
    </xf>
    <xf numFmtId="3" fontId="7" fillId="13" borderId="0" xfId="0" applyNumberFormat="1" applyFont="1" applyFill="1" applyAlignment="1">
      <alignment horizontal="center" vertical="center"/>
    </xf>
    <xf numFmtId="3" fontId="10" fillId="13" borderId="0" xfId="0" applyNumberFormat="1" applyFont="1" applyFill="1" applyAlignment="1">
      <alignment horizontal="center" vertical="center"/>
    </xf>
    <xf numFmtId="4" fontId="7" fillId="13" borderId="0" xfId="0" applyNumberFormat="1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4" fontId="8" fillId="8" borderId="0" xfId="0" applyNumberFormat="1" applyFont="1" applyFill="1" applyAlignment="1">
      <alignment horizontal="center" vertical="center"/>
    </xf>
    <xf numFmtId="9" fontId="8" fillId="8" borderId="0" xfId="1" applyFont="1" applyFill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left" vertical="center"/>
    </xf>
    <xf numFmtId="3" fontId="12" fillId="13" borderId="0" xfId="0" applyNumberFormat="1" applyFont="1" applyFill="1" applyAlignment="1">
      <alignment horizontal="center" vertical="center"/>
    </xf>
    <xf numFmtId="1" fontId="12" fillId="13" borderId="0" xfId="0" applyNumberFormat="1" applyFont="1" applyFill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 wrapText="1"/>
    </xf>
    <xf numFmtId="9" fontId="19" fillId="13" borderId="0" xfId="1" applyFont="1" applyFill="1" applyAlignment="1">
      <alignment horizontal="center" vertical="center"/>
    </xf>
    <xf numFmtId="4" fontId="12" fillId="13" borderId="0" xfId="0" applyNumberFormat="1" applyFont="1" applyFill="1" applyAlignment="1">
      <alignment horizontal="center" vertical="center"/>
    </xf>
    <xf numFmtId="3" fontId="7" fillId="14" borderId="0" xfId="0" applyNumberFormat="1" applyFont="1" applyFill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 wrapText="1"/>
    </xf>
    <xf numFmtId="9" fontId="23" fillId="13" borderId="0" xfId="1" applyFont="1" applyFill="1" applyAlignment="1">
      <alignment horizontal="center" vertical="center"/>
    </xf>
    <xf numFmtId="9" fontId="11" fillId="13" borderId="0" xfId="1" applyFont="1" applyFill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9" fontId="18" fillId="0" borderId="0" xfId="1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3" fontId="8" fillId="15" borderId="0" xfId="0" applyNumberFormat="1" applyFont="1" applyFill="1" applyAlignment="1">
      <alignment horizontal="center" vertical="center"/>
    </xf>
    <xf numFmtId="3" fontId="9" fillId="15" borderId="0" xfId="0" applyNumberFormat="1" applyFont="1" applyFill="1" applyAlignment="1">
      <alignment horizontal="center" vertical="center"/>
    </xf>
    <xf numFmtId="4" fontId="8" fillId="15" borderId="0" xfId="0" applyNumberFormat="1" applyFont="1" applyFill="1" applyAlignment="1">
      <alignment horizontal="center" vertical="center"/>
    </xf>
    <xf numFmtId="9" fontId="8" fillId="15" borderId="0" xfId="1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1" fillId="6" borderId="0" xfId="0" applyNumberFormat="1" applyFont="1" applyFill="1" applyAlignment="1">
      <alignment horizontal="center" vertical="center"/>
    </xf>
    <xf numFmtId="1" fontId="23" fillId="13" borderId="0" xfId="0" applyNumberFormat="1" applyFont="1" applyFill="1" applyAlignment="1">
      <alignment horizontal="center" vertical="center"/>
    </xf>
    <xf numFmtId="1" fontId="11" fillId="1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30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D527B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D527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D527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D527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D527B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D527B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E8175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9900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rgb="FF9900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</dxf>
    <dxf>
      <font>
        <color theme="0"/>
      </font>
      <fill>
        <patternFill>
          <bgColor rgb="FF9900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theme="0"/>
      </font>
      <fill>
        <patternFill>
          <bgColor rgb="FF40404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rgb="FF9900C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9900CC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40404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85D7E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85D7E5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85D7E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5AAEA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theme="7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theme="0"/>
      </font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7" tint="0.79998168889431442"/>
        </patternFill>
      </fill>
    </dxf>
    <dxf>
      <font>
        <color theme="0"/>
      </font>
    </dxf>
    <dxf>
      <font>
        <color rgb="FFFF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E817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E8175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E8175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0.59996337778862885"/>
        </patternFill>
      </fill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85D7E5"/>
      <color rgb="FFE8175E"/>
      <color rgb="FFFFA8B6"/>
      <color rgb="FF5AAEA9"/>
      <color rgb="FFCD527B"/>
      <color rgb="FF404040"/>
      <color rgb="FF9900CC"/>
      <color rgb="FF99FFCC"/>
      <color rgb="FF8FFFFF"/>
      <color rgb="FFC06C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E2C4-04A1-4C36-BA8F-4C5A0D116B76}">
  <sheetPr codeName="Feuil1"/>
  <dimension ref="A1:O700"/>
  <sheetViews>
    <sheetView zoomScaleNormal="100" workbookViewId="0">
      <pane ySplit="1" topLeftCell="A2" activePane="bottomLeft" state="frozen"/>
      <selection pane="bottomLeft" activeCell="A22" sqref="A22:XFD22"/>
    </sheetView>
  </sheetViews>
  <sheetFormatPr baseColWidth="10" defaultColWidth="11.42578125" defaultRowHeight="13.5" x14ac:dyDescent="0.25"/>
  <cols>
    <col min="1" max="1" width="18.7109375" style="37" bestFit="1" customWidth="1"/>
    <col min="2" max="2" width="11.85546875" style="4" bestFit="1" customWidth="1"/>
    <col min="3" max="3" width="16.140625" style="4" bestFit="1" customWidth="1"/>
    <col min="4" max="4" width="10.5703125" style="4" bestFit="1" customWidth="1"/>
    <col min="5" max="6" width="9.42578125" style="4" bestFit="1" customWidth="1"/>
    <col min="7" max="10" width="10.5703125" style="4" bestFit="1" customWidth="1"/>
    <col min="11" max="11" width="12.42578125" style="4" bestFit="1" customWidth="1"/>
    <col min="12" max="12" width="11.85546875" style="4" bestFit="1" customWidth="1"/>
    <col min="13" max="14" width="12.28515625" style="4" bestFit="1" customWidth="1"/>
    <col min="15" max="15" width="11.42578125" style="65"/>
    <col min="16" max="16384" width="11.42578125" style="37"/>
  </cols>
  <sheetData>
    <row r="1" spans="1:14" x14ac:dyDescent="0.25">
      <c r="A1" s="80"/>
      <c r="B1" s="86" t="s">
        <v>15</v>
      </c>
      <c r="C1" s="87" t="str">
        <f>Données!D2</f>
        <v>Janvier</v>
      </c>
      <c r="D1" s="88" t="str">
        <f>Données!D3</f>
        <v>Février</v>
      </c>
      <c r="E1" s="88" t="str">
        <f>Données!D4</f>
        <v>Mars</v>
      </c>
      <c r="F1" s="88" t="str">
        <f>Données!D5</f>
        <v>Avril</v>
      </c>
      <c r="G1" s="88" t="str">
        <f>Données!D6</f>
        <v>Mai</v>
      </c>
      <c r="H1" s="88" t="str">
        <f>Données!D7</f>
        <v>Juin</v>
      </c>
      <c r="I1" s="88" t="str">
        <f>Données!D8</f>
        <v>Juillet</v>
      </c>
      <c r="J1" s="88" t="str">
        <f>Données!D9</f>
        <v>Août</v>
      </c>
      <c r="K1" s="88" t="str">
        <f>Données!D10</f>
        <v>Septembre</v>
      </c>
      <c r="L1" s="88" t="str">
        <f>Données!D11</f>
        <v>Octobre</v>
      </c>
      <c r="M1" s="88" t="str">
        <f>Données!D12</f>
        <v>Novembre</v>
      </c>
      <c r="N1" s="89" t="str">
        <f>Données!D13</f>
        <v>Décembre</v>
      </c>
    </row>
    <row r="2" spans="1:14" x14ac:dyDescent="0.25">
      <c r="A2" s="48">
        <f>SUMIFS(MISSIONS!$AH$3:$AH$2094,MISSIONS!$I$3:$I$2094,A$1)</f>
        <v>0</v>
      </c>
      <c r="B2" s="30"/>
    </row>
    <row r="3" spans="1:14" x14ac:dyDescent="0.25">
      <c r="A3" s="53" t="s">
        <v>183</v>
      </c>
      <c r="B3" s="30">
        <f>SUM(C3:N3)</f>
        <v>276915</v>
      </c>
      <c r="C3" s="52">
        <f>SUMIFS(MISSIONS!$J$3:$J$2096,MISSIONS!$I$3:$I$2096,C$1)</f>
        <v>16154</v>
      </c>
      <c r="D3" s="52">
        <f>SUMIFS(MISSIONS!$J$3:$J$2096,MISSIONS!$I$3:$I$2096,D$1)</f>
        <v>13164</v>
      </c>
      <c r="E3" s="52">
        <f>SUMIFS(MISSIONS!$J$3:$J$2096,MISSIONS!$I$3:$I$2096,E$1)</f>
        <v>14514</v>
      </c>
      <c r="F3" s="52">
        <f>SUMIFS(MISSIONS!$J$3:$J$2096,MISSIONS!$I$3:$I$2096,F$1)</f>
        <v>12498</v>
      </c>
      <c r="G3" s="52">
        <f>SUMIFS(MISSIONS!$J$3:$J$2096,MISSIONS!$I$3:$I$2096,G$1)</f>
        <v>14713</v>
      </c>
      <c r="H3" s="52">
        <f>SUMIFS(MISSIONS!$J$3:$J$2096,MISSIONS!$I$3:$I$2096,H$1)</f>
        <v>15782</v>
      </c>
      <c r="I3" s="52">
        <f>SUMIFS(MISSIONS!$J$3:$J$2096,MISSIONS!$I$3:$I$2096,I$1)</f>
        <v>15464</v>
      </c>
      <c r="J3" s="52">
        <f>SUMIFS(MISSIONS!$J$3:$J$2096,MISSIONS!$I$3:$I$2096,J$1)</f>
        <v>13328</v>
      </c>
      <c r="K3" s="52">
        <f>SUMIFS(MISSIONS!$J$3:$J$2096,MISSIONS!$I$3:$I$2096,K$1)</f>
        <v>22446</v>
      </c>
      <c r="L3" s="52">
        <f>SUMIFS(MISSIONS!$J$3:$J$2096,MISSIONS!$I$3:$I$2096,L$1)</f>
        <v>42499</v>
      </c>
      <c r="M3" s="52">
        <f>SUMIFS(MISSIONS!$J$3:$J$2096,MISSIONS!$I$3:$I$2096,M$1)</f>
        <v>55213</v>
      </c>
      <c r="N3" s="52">
        <f>SUMIFS(MISSIONS!$J$3:$J$2096,MISSIONS!$I$3:$I$2096,N$1)</f>
        <v>41140</v>
      </c>
    </row>
    <row r="4" spans="1:14" x14ac:dyDescent="0.25">
      <c r="A4" s="53" t="s">
        <v>145</v>
      </c>
      <c r="B4" s="30">
        <f>SUM(C4:N4)</f>
        <v>128171</v>
      </c>
      <c r="C4" s="52">
        <f>SUMIFS(MISSIONS!$L$3:$L$2096,MISSIONS!$I$3:$I$2096,C$1)</f>
        <v>6881</v>
      </c>
      <c r="D4" s="52">
        <f>SUMIFS(MISSIONS!$L$3:$L$2096,MISSIONS!$I$3:$I$2096,D$1)</f>
        <v>6582</v>
      </c>
      <c r="E4" s="52">
        <f>SUMIFS(MISSIONS!$L$3:$L$2096,MISSIONS!$I$3:$I$2096,E$1)</f>
        <v>7507</v>
      </c>
      <c r="F4" s="52">
        <f>SUMIFS(MISSIONS!$L$3:$L$2096,MISSIONS!$I$3:$I$2096,F$1)</f>
        <v>5893</v>
      </c>
      <c r="G4" s="52">
        <f>SUMIFS(MISSIONS!$L$3:$L$2096,MISSIONS!$I$3:$I$2096,G$1)</f>
        <v>7773</v>
      </c>
      <c r="H4" s="52">
        <f>SUMIFS(MISSIONS!$L$3:$L$2096,MISSIONS!$I$3:$I$2096,H$1)</f>
        <v>8885</v>
      </c>
      <c r="I4" s="52">
        <f>SUMIFS(MISSIONS!$L$3:$L$2096,MISSIONS!$I$3:$I$2096,I$1)</f>
        <v>8232</v>
      </c>
      <c r="J4" s="52">
        <f>SUMIFS(MISSIONS!$L$3:$L$2096,MISSIONS!$I$3:$I$2096,J$1)</f>
        <v>6664</v>
      </c>
      <c r="K4" s="52">
        <f>SUMIFS(MISSIONS!$L$3:$L$2096,MISSIONS!$I$3:$I$2096,K$1)</f>
        <v>10202</v>
      </c>
      <c r="L4" s="52">
        <f>SUMIFS(MISSIONS!$L$3:$L$2096,MISSIONS!$I$3:$I$2096,L$1)</f>
        <v>19365</v>
      </c>
      <c r="M4" s="52">
        <f>SUMIFS(MISSIONS!$L$3:$L$2096,MISSIONS!$I$3:$I$2096,M$1)</f>
        <v>19617</v>
      </c>
      <c r="N4" s="52">
        <f>SUMIFS(MISSIONS!$L$3:$L$2096,MISSIONS!$I$3:$I$2096,N$1)</f>
        <v>20570</v>
      </c>
    </row>
    <row r="5" spans="1:14" x14ac:dyDescent="0.25">
      <c r="A5" s="53" t="s">
        <v>146</v>
      </c>
      <c r="B5" s="30">
        <f>SUM(C5:N5)</f>
        <v>82739</v>
      </c>
      <c r="C5" s="52">
        <f>SUMIFS(MISSIONS!$M$3:$M$2096,MISSIONS!$I$3:$I$2096,C$1)</f>
        <v>6321</v>
      </c>
      <c r="D5" s="52">
        <f>SUMIFS(MISSIONS!$M$3:$M$2096,MISSIONS!$I$3:$I$2096,D$1)</f>
        <v>6232</v>
      </c>
      <c r="E5" s="52">
        <f>SUMIFS(MISSIONS!$M$3:$M$2096,MISSIONS!$I$3:$I$2096,E$1)</f>
        <v>7507</v>
      </c>
      <c r="F5" s="52">
        <f>SUMIFS(MISSIONS!$M$3:$M$2096,MISSIONS!$I$3:$I$2096,F$1)</f>
        <v>5893</v>
      </c>
      <c r="G5" s="52">
        <f>SUMIFS(MISSIONS!$M$3:$M$2096,MISSIONS!$I$3:$I$2096,G$1)</f>
        <v>7773</v>
      </c>
      <c r="H5" s="52">
        <f>SUMIFS(MISSIONS!$M$3:$M$2096,MISSIONS!$I$3:$I$2096,H$1)</f>
        <v>8885</v>
      </c>
      <c r="I5" s="52">
        <f>SUMIFS(MISSIONS!$M$3:$M$2096,MISSIONS!$I$3:$I$2096,I$1)</f>
        <v>8232</v>
      </c>
      <c r="J5" s="52">
        <f>SUMIFS(MISSIONS!$M$3:$M$2096,MISSIONS!$I$3:$I$2096,J$1)</f>
        <v>6664</v>
      </c>
      <c r="K5" s="52">
        <f>SUMIFS(MISSIONS!$M$3:$M$2096,MISSIONS!$I$3:$I$2096,K$1)</f>
        <v>10202</v>
      </c>
      <c r="L5" s="52">
        <f>SUMIFS(MISSIONS!$M$3:$M$2096,MISSIONS!$I$3:$I$2096,L$1)</f>
        <v>14670</v>
      </c>
      <c r="M5" s="52">
        <f>SUMIFS(MISSIONS!$M$3:$M$2096,MISSIONS!$I$3:$I$2096,M$1)</f>
        <v>180</v>
      </c>
      <c r="N5" s="52">
        <f>SUMIFS(MISSIONS!$M$3:$M$2096,MISSIONS!$I$3:$I$2096,N$1)</f>
        <v>180</v>
      </c>
    </row>
    <row r="6" spans="1:14" x14ac:dyDescent="0.25">
      <c r="A6" s="48"/>
      <c r="B6" s="3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x14ac:dyDescent="0.25">
      <c r="A7" s="32" t="s">
        <v>20</v>
      </c>
      <c r="B7" s="33"/>
      <c r="C7" s="47"/>
      <c r="D7" s="47"/>
      <c r="E7" s="47"/>
      <c r="F7" s="47"/>
      <c r="G7" s="47"/>
      <c r="H7" s="47"/>
      <c r="I7" s="47"/>
      <c r="J7" s="47"/>
      <c r="K7" s="47"/>
      <c r="L7" s="33"/>
      <c r="M7" s="33"/>
      <c r="N7" s="33"/>
    </row>
    <row r="8" spans="1:14" x14ac:dyDescent="0.25">
      <c r="A8" s="53" t="s">
        <v>147</v>
      </c>
      <c r="B8" s="30">
        <f>SUM(C8:N8)</f>
        <v>6614.9</v>
      </c>
      <c r="C8" s="52">
        <f>SUMIFS(MISSIONS!$P$3:$P$2119,MISSIONS!$I$3:$I$2119,C$1)</f>
        <v>621.79999999999995</v>
      </c>
      <c r="D8" s="52">
        <f>SUMIFS(MISSIONS!$P$3:$P$2119,MISSIONS!$I$3:$I$2119,D$1)</f>
        <v>621.79999999999995</v>
      </c>
      <c r="E8" s="52">
        <f>SUMIFS(MISSIONS!$P$3:$P$2119,MISSIONS!$I$3:$I$2119,E$1)</f>
        <v>699.69999999999993</v>
      </c>
      <c r="F8" s="52">
        <f>SUMIFS(MISSIONS!$P$3:$P$2119,MISSIONS!$I$3:$I$2119,F$1)</f>
        <v>579.4</v>
      </c>
      <c r="G8" s="52">
        <f>SUMIFS(MISSIONS!$P$3:$P$2119,MISSIONS!$I$3:$I$2119,G$1)</f>
        <v>693.40000000000009</v>
      </c>
      <c r="H8" s="52">
        <f>SUMIFS(MISSIONS!$P$3:$P$2119,MISSIONS!$I$3:$I$2119,H$1)</f>
        <v>609.6</v>
      </c>
      <c r="I8" s="52">
        <f>SUMIFS(MISSIONS!$P$3:$P$2119,MISSIONS!$I$3:$I$2119,I$1)</f>
        <v>723.2</v>
      </c>
      <c r="J8" s="52">
        <f>SUMIFS(MISSIONS!$P$3:$P$2119,MISSIONS!$I$3:$I$2119,J$1)</f>
        <v>666.4</v>
      </c>
      <c r="K8" s="52">
        <f>SUMIFS(MISSIONS!$P$3:$P$2119,MISSIONS!$I$3:$I$2119,K$1)</f>
        <v>983.49999999999989</v>
      </c>
      <c r="L8" s="52">
        <f>SUMIFS(MISSIONS!$P$3:$P$2119,MISSIONS!$I$3:$I$2119,L$1)</f>
        <v>398.1</v>
      </c>
      <c r="M8" s="52">
        <f>SUMIFS(MISSIONS!$P$3:$P$2119,MISSIONS!$I$3:$I$2119,M$1)</f>
        <v>9</v>
      </c>
      <c r="N8" s="52">
        <f>SUMIFS(MISSIONS!$P$3:$P$2119,MISSIONS!$I$3:$I$2119,N$1)</f>
        <v>9</v>
      </c>
    </row>
    <row r="9" spans="1:14" x14ac:dyDescent="0.25">
      <c r="A9" s="48"/>
      <c r="B9" s="3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4" x14ac:dyDescent="0.25">
      <c r="A10" s="48"/>
      <c r="B10" s="3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 x14ac:dyDescent="0.25">
      <c r="A11" s="49" t="s">
        <v>171</v>
      </c>
      <c r="B11" s="30">
        <f t="shared" ref="B11:B17" si="0">SUM(C11:N11)</f>
        <v>1104</v>
      </c>
      <c r="C11" s="52">
        <v>92</v>
      </c>
      <c r="D11" s="52">
        <f t="shared" ref="D11:D12" si="1">C11</f>
        <v>92</v>
      </c>
      <c r="E11" s="52">
        <f t="shared" ref="E11:E12" si="2">D11</f>
        <v>92</v>
      </c>
      <c r="F11" s="52">
        <f t="shared" ref="F11:F12" si="3">E11</f>
        <v>92</v>
      </c>
      <c r="G11" s="52">
        <f t="shared" ref="G11:G12" si="4">F11</f>
        <v>92</v>
      </c>
      <c r="H11" s="52">
        <f t="shared" ref="H11:H12" si="5">G11</f>
        <v>92</v>
      </c>
      <c r="I11" s="52">
        <f t="shared" ref="I11:I12" si="6">H11</f>
        <v>92</v>
      </c>
      <c r="J11" s="52">
        <f t="shared" ref="J11:J12" si="7">I11</f>
        <v>92</v>
      </c>
      <c r="K11" s="52">
        <f t="shared" ref="K11:K12" si="8">J11</f>
        <v>92</v>
      </c>
      <c r="L11" s="52">
        <f t="shared" ref="L11:L12" si="9">K11</f>
        <v>92</v>
      </c>
      <c r="M11" s="52">
        <f t="shared" ref="M11:M12" si="10">L11</f>
        <v>92</v>
      </c>
      <c r="N11" s="52">
        <f t="shared" ref="N11:N12" si="11">M11</f>
        <v>92</v>
      </c>
    </row>
    <row r="12" spans="1:14" x14ac:dyDescent="0.25">
      <c r="A12" s="49" t="s">
        <v>157</v>
      </c>
      <c r="B12" s="30">
        <f t="shared" ref="B12" si="12">SUM(C12:N12)</f>
        <v>720</v>
      </c>
      <c r="C12" s="52">
        <v>60</v>
      </c>
      <c r="D12" s="52">
        <f t="shared" si="1"/>
        <v>60</v>
      </c>
      <c r="E12" s="52">
        <f t="shared" si="2"/>
        <v>60</v>
      </c>
      <c r="F12" s="52">
        <f t="shared" si="3"/>
        <v>60</v>
      </c>
      <c r="G12" s="52">
        <f t="shared" si="4"/>
        <v>60</v>
      </c>
      <c r="H12" s="52">
        <f t="shared" si="5"/>
        <v>60</v>
      </c>
      <c r="I12" s="52">
        <f t="shared" si="6"/>
        <v>60</v>
      </c>
      <c r="J12" s="52">
        <f t="shared" si="7"/>
        <v>60</v>
      </c>
      <c r="K12" s="52">
        <f t="shared" si="8"/>
        <v>60</v>
      </c>
      <c r="L12" s="52">
        <f t="shared" si="9"/>
        <v>60</v>
      </c>
      <c r="M12" s="52">
        <f t="shared" si="10"/>
        <v>60</v>
      </c>
      <c r="N12" s="52">
        <f t="shared" si="11"/>
        <v>60</v>
      </c>
    </row>
    <row r="13" spans="1:14" x14ac:dyDescent="0.25">
      <c r="A13" s="49" t="s">
        <v>141</v>
      </c>
      <c r="B13" s="30">
        <f t="shared" si="0"/>
        <v>108</v>
      </c>
      <c r="C13" s="52">
        <v>9</v>
      </c>
      <c r="D13" s="52">
        <f t="shared" ref="D13:N13" si="13">C13</f>
        <v>9</v>
      </c>
      <c r="E13" s="52">
        <f t="shared" si="13"/>
        <v>9</v>
      </c>
      <c r="F13" s="52">
        <f t="shared" si="13"/>
        <v>9</v>
      </c>
      <c r="G13" s="52">
        <f t="shared" si="13"/>
        <v>9</v>
      </c>
      <c r="H13" s="52">
        <f t="shared" si="13"/>
        <v>9</v>
      </c>
      <c r="I13" s="52">
        <f t="shared" si="13"/>
        <v>9</v>
      </c>
      <c r="J13" s="52">
        <f t="shared" si="13"/>
        <v>9</v>
      </c>
      <c r="K13" s="52">
        <f t="shared" si="13"/>
        <v>9</v>
      </c>
      <c r="L13" s="52">
        <f t="shared" si="13"/>
        <v>9</v>
      </c>
      <c r="M13" s="52">
        <f t="shared" si="13"/>
        <v>9</v>
      </c>
      <c r="N13" s="52">
        <f t="shared" si="13"/>
        <v>9</v>
      </c>
    </row>
    <row r="14" spans="1:14" x14ac:dyDescent="0.25">
      <c r="A14" s="49" t="s">
        <v>142</v>
      </c>
      <c r="B14" s="30">
        <f t="shared" si="0"/>
        <v>180</v>
      </c>
      <c r="C14" s="52">
        <v>15</v>
      </c>
      <c r="D14" s="52">
        <f t="shared" ref="D14" si="14">C14</f>
        <v>15</v>
      </c>
      <c r="E14" s="52">
        <f t="shared" ref="E14" si="15">D14</f>
        <v>15</v>
      </c>
      <c r="F14" s="52">
        <f t="shared" ref="F14" si="16">E14</f>
        <v>15</v>
      </c>
      <c r="G14" s="52">
        <f t="shared" ref="G14" si="17">F14</f>
        <v>15</v>
      </c>
      <c r="H14" s="52">
        <f t="shared" ref="H14" si="18">G14</f>
        <v>15</v>
      </c>
      <c r="I14" s="52">
        <f t="shared" ref="I14" si="19">H14</f>
        <v>15</v>
      </c>
      <c r="J14" s="52">
        <f t="shared" ref="J14" si="20">I14</f>
        <v>15</v>
      </c>
      <c r="K14" s="52">
        <f t="shared" ref="K14" si="21">J14</f>
        <v>15</v>
      </c>
      <c r="L14" s="52">
        <f t="shared" ref="L14" si="22">K14</f>
        <v>15</v>
      </c>
      <c r="M14" s="52">
        <f t="shared" ref="M14" si="23">L14</f>
        <v>15</v>
      </c>
      <c r="N14" s="52">
        <f t="shared" ref="N14" si="24">M14</f>
        <v>15</v>
      </c>
    </row>
    <row r="15" spans="1:14" x14ac:dyDescent="0.25">
      <c r="A15" s="49" t="s">
        <v>143</v>
      </c>
      <c r="B15" s="30">
        <f t="shared" ref="B15" si="25">SUM(C15:N15)</f>
        <v>50.400000000000013</v>
      </c>
      <c r="C15" s="52">
        <v>4.2</v>
      </c>
      <c r="D15" s="52">
        <f t="shared" ref="D15" si="26">C15</f>
        <v>4.2</v>
      </c>
      <c r="E15" s="52">
        <f t="shared" ref="E15" si="27">D15</f>
        <v>4.2</v>
      </c>
      <c r="F15" s="52">
        <f t="shared" ref="F15" si="28">E15</f>
        <v>4.2</v>
      </c>
      <c r="G15" s="52">
        <f t="shared" ref="G15" si="29">F15</f>
        <v>4.2</v>
      </c>
      <c r="H15" s="52">
        <f t="shared" ref="H15" si="30">G15</f>
        <v>4.2</v>
      </c>
      <c r="I15" s="52">
        <f t="shared" ref="I15" si="31">H15</f>
        <v>4.2</v>
      </c>
      <c r="J15" s="52">
        <f t="shared" ref="J15" si="32">I15</f>
        <v>4.2</v>
      </c>
      <c r="K15" s="52">
        <f t="shared" ref="K15" si="33">J15</f>
        <v>4.2</v>
      </c>
      <c r="L15" s="52">
        <f t="shared" ref="L15" si="34">K15</f>
        <v>4.2</v>
      </c>
      <c r="M15" s="52">
        <f t="shared" ref="M15" si="35">L15</f>
        <v>4.2</v>
      </c>
      <c r="N15" s="52">
        <f t="shared" ref="N15" si="36">M15</f>
        <v>4.2</v>
      </c>
    </row>
    <row r="16" spans="1:14" x14ac:dyDescent="0.25">
      <c r="A16" s="49" t="s">
        <v>155</v>
      </c>
      <c r="B16" s="30">
        <f t="shared" si="0"/>
        <v>90</v>
      </c>
      <c r="C16" s="52">
        <v>7.5</v>
      </c>
      <c r="D16" s="52">
        <f t="shared" ref="D16:N16" si="37">C16</f>
        <v>7.5</v>
      </c>
      <c r="E16" s="52">
        <f t="shared" si="37"/>
        <v>7.5</v>
      </c>
      <c r="F16" s="52">
        <f t="shared" si="37"/>
        <v>7.5</v>
      </c>
      <c r="G16" s="52">
        <f t="shared" si="37"/>
        <v>7.5</v>
      </c>
      <c r="H16" s="52">
        <f t="shared" si="37"/>
        <v>7.5</v>
      </c>
      <c r="I16" s="52">
        <f t="shared" si="37"/>
        <v>7.5</v>
      </c>
      <c r="J16" s="52">
        <f t="shared" si="37"/>
        <v>7.5</v>
      </c>
      <c r="K16" s="52">
        <f t="shared" si="37"/>
        <v>7.5</v>
      </c>
      <c r="L16" s="52">
        <f t="shared" si="37"/>
        <v>7.5</v>
      </c>
      <c r="M16" s="52">
        <f t="shared" si="37"/>
        <v>7.5</v>
      </c>
      <c r="N16" s="52">
        <f t="shared" si="37"/>
        <v>7.5</v>
      </c>
    </row>
    <row r="17" spans="1:15" x14ac:dyDescent="0.25">
      <c r="A17" s="49" t="s">
        <v>156</v>
      </c>
      <c r="B17" s="30">
        <f t="shared" si="0"/>
        <v>96</v>
      </c>
      <c r="C17" s="52">
        <v>8</v>
      </c>
      <c r="D17" s="52">
        <f t="shared" ref="D17:N17" si="38">C17</f>
        <v>8</v>
      </c>
      <c r="E17" s="52">
        <f t="shared" si="38"/>
        <v>8</v>
      </c>
      <c r="F17" s="52">
        <f t="shared" si="38"/>
        <v>8</v>
      </c>
      <c r="G17" s="52">
        <f t="shared" si="38"/>
        <v>8</v>
      </c>
      <c r="H17" s="52">
        <f t="shared" si="38"/>
        <v>8</v>
      </c>
      <c r="I17" s="52">
        <f t="shared" si="38"/>
        <v>8</v>
      </c>
      <c r="J17" s="52">
        <f t="shared" si="38"/>
        <v>8</v>
      </c>
      <c r="K17" s="52">
        <f t="shared" si="38"/>
        <v>8</v>
      </c>
      <c r="L17" s="52">
        <f t="shared" si="38"/>
        <v>8</v>
      </c>
      <c r="M17" s="52">
        <f t="shared" si="38"/>
        <v>8</v>
      </c>
      <c r="N17" s="52">
        <f t="shared" si="38"/>
        <v>8</v>
      </c>
    </row>
    <row r="18" spans="1:15" x14ac:dyDescent="0.25">
      <c r="A18" s="49"/>
      <c r="B18" s="3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5" x14ac:dyDescent="0.25">
      <c r="A19" s="36" t="str">
        <f>MISSIONS!AU2</f>
        <v>Reliquat</v>
      </c>
      <c r="B19" s="30">
        <f>SUM(C19:N19)</f>
        <v>10873.644035399999</v>
      </c>
      <c r="C19" s="51">
        <f>SUMIFS(MISSIONS!$AU$3:$AU$2119,MISSIONS!$I$3:$I$2119,C$1)</f>
        <v>106.6225568000001</v>
      </c>
      <c r="D19" s="51">
        <f>SUMIFS(MISSIONS!$AU$3:$AU$2119,MISSIONS!$I$3:$I$2119,D$1)</f>
        <v>105.7325568000001</v>
      </c>
      <c r="E19" s="51">
        <f>SUMIFS(MISSIONS!$AU$3:$AU$2119,MISSIONS!$I$3:$I$2119,E$1)</f>
        <v>117.84963840000009</v>
      </c>
      <c r="F19" s="51">
        <f>SUMIFS(MISSIONS!$AU$3:$AU$2119,MISSIONS!$I$3:$I$2119,F$1)</f>
        <v>98.670915200000081</v>
      </c>
      <c r="G19" s="51">
        <f>SUMIFS(MISSIONS!$AU$3:$AU$2119,MISSIONS!$I$3:$I$2119,G$1)</f>
        <v>949.10359040000003</v>
      </c>
      <c r="H19" s="51">
        <f>SUMIFS(MISSIONS!$AU$3:$AU$2119,MISSIONS!$I$3:$I$2119,H$1)</f>
        <v>2811.1023728</v>
      </c>
      <c r="I19" s="51">
        <f>SUMIFS(MISSIONS!$AU$3:$AU$2119,MISSIONS!$I$3:$I$2119,I$1)</f>
        <v>181.62790500000014</v>
      </c>
      <c r="J19" s="51">
        <f>SUMIFS(MISSIONS!$AU$3:$AU$2119,MISSIONS!$I$3:$I$2119,J$1)</f>
        <v>166.72554000000036</v>
      </c>
      <c r="K19" s="51">
        <f>SUMIFS(MISSIONS!$AU$3:$AU$2119,MISSIONS!$I$3:$I$2119,K$1)</f>
        <v>2307.5917900000004</v>
      </c>
      <c r="L19" s="51">
        <f>SUMIFS(MISSIONS!$AU$3:$AU$2119,MISSIONS!$I$3:$I$2119,L$1)</f>
        <v>4026.1565699999987</v>
      </c>
      <c r="M19" s="51">
        <f>SUMIFS(MISSIONS!$AU$3:$AU$2119,MISSIONS!$I$3:$I$2119,M$1)</f>
        <v>1.2302999999999977</v>
      </c>
      <c r="N19" s="51">
        <f>SUMIFS(MISSIONS!$AU$3:$AU$2119,MISSIONS!$I$3:$I$2119,N$1)</f>
        <v>1.2302999999999977</v>
      </c>
    </row>
    <row r="20" spans="1:15" x14ac:dyDescent="0.25">
      <c r="A20" s="50" t="s">
        <v>144</v>
      </c>
      <c r="B20" s="28">
        <f>SUM(C20:N20)</f>
        <v>15140.144035400001</v>
      </c>
      <c r="C20" s="28">
        <f t="shared" ref="C20:N20" si="39">C8-SUM(C11:C17)+C19</f>
        <v>532.72255680000012</v>
      </c>
      <c r="D20" s="28">
        <f t="shared" si="39"/>
        <v>531.83255680000002</v>
      </c>
      <c r="E20" s="28">
        <f t="shared" si="39"/>
        <v>621.8496384</v>
      </c>
      <c r="F20" s="28">
        <f t="shared" si="39"/>
        <v>482.37091520000007</v>
      </c>
      <c r="G20" s="28">
        <f t="shared" si="39"/>
        <v>1446.8035904000001</v>
      </c>
      <c r="H20" s="28">
        <f t="shared" si="39"/>
        <v>3225.0023728000001</v>
      </c>
      <c r="I20" s="28">
        <f t="shared" si="39"/>
        <v>709.12790500000017</v>
      </c>
      <c r="J20" s="28">
        <f t="shared" si="39"/>
        <v>637.42554000000041</v>
      </c>
      <c r="K20" s="28">
        <f t="shared" si="39"/>
        <v>3095.3917900000006</v>
      </c>
      <c r="L20" s="28">
        <f t="shared" si="39"/>
        <v>4228.5565699999988</v>
      </c>
      <c r="M20" s="28">
        <f t="shared" si="39"/>
        <v>-185.46969999999999</v>
      </c>
      <c r="N20" s="28">
        <f t="shared" si="39"/>
        <v>-185.46969999999999</v>
      </c>
    </row>
    <row r="21" spans="1:15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</row>
    <row r="22" spans="1:15" s="90" customFormat="1" x14ac:dyDescent="0.25">
      <c r="A22" s="35" t="str">
        <f>MISSIONS!S2</f>
        <v>Ml</v>
      </c>
      <c r="B22" s="52">
        <f t="shared" ref="B22:B27" si="40">SUM(C22:N22)+O22</f>
        <v>2643.9410999999996</v>
      </c>
      <c r="C22" s="48">
        <f>SUMIFS(MISSIONS!$S$3:$S$2094,MISSIONS!$I$3:$I$2094,C$1)</f>
        <v>196.76160000000002</v>
      </c>
      <c r="D22" s="48">
        <f>SUMIFS(MISSIONS!$S$3:$S$2094,MISSIONS!$I$3:$I$2094,D$1)</f>
        <v>196.76160000000002</v>
      </c>
      <c r="E22" s="48">
        <f>SUMIFS(MISSIONS!$S$3:$S$2094,MISSIONS!$I$3:$I$2094,E$1)</f>
        <v>246.54080000000002</v>
      </c>
      <c r="F22" s="48">
        <f>SUMIFS(MISSIONS!$S$3:$S$2094,MISSIONS!$I$3:$I$2094,F$1)</f>
        <v>199.14239999999998</v>
      </c>
      <c r="G22" s="48">
        <f>SUMIFS(MISSIONS!$S$3:$S$2094,MISSIONS!$I$3:$I$2094,G$1)</f>
        <v>250.12480000000002</v>
      </c>
      <c r="H22" s="48">
        <f>SUMIFS(MISSIONS!$S$3:$S$2094,MISSIONS!$I$3:$I$2094,H$1)</f>
        <v>205.61120000000003</v>
      </c>
      <c r="I22" s="48">
        <f>SUMIFS(MISSIONS!$S$3:$S$2094,MISSIONS!$I$3:$I$2094,I$1)</f>
        <v>271.43619999999999</v>
      </c>
      <c r="J22" s="48">
        <f>SUMIFS(MISSIONS!$S$3:$S$2094,MISSIONS!$I$3:$I$2094,J$1)</f>
        <v>295.28100000000006</v>
      </c>
      <c r="K22" s="48">
        <f>SUMIFS(MISSIONS!$S$3:$S$2094,MISSIONS!$I$3:$I$2094,K$1)</f>
        <v>336.59850000000006</v>
      </c>
      <c r="L22" s="10">
        <f>SUMIFS(MISSIONS!$S$3:$S$2094,MISSIONS!$I$3:$I$2094,L$1)</f>
        <v>421.74300000000005</v>
      </c>
      <c r="M22" s="48">
        <f>SUMIFS(MISSIONS!$S$3:$S$2094,MISSIONS!$I$3:$I$2094,M$1)</f>
        <v>11.97</v>
      </c>
      <c r="N22" s="48">
        <f>SUMIFS(MISSIONS!$S$3:$S$2094,MISSIONS!$I$3:$I$2094,N$1)</f>
        <v>11.97</v>
      </c>
      <c r="O22" s="65"/>
    </row>
    <row r="23" spans="1:15" s="90" customFormat="1" x14ac:dyDescent="0.25">
      <c r="A23" s="35" t="str">
        <f>MISSIONS!T2</f>
        <v>Lt</v>
      </c>
      <c r="B23" s="52">
        <f t="shared" si="40"/>
        <v>1441.7462799999998</v>
      </c>
      <c r="C23" s="48">
        <f>SUMIFS(MISSIONS!$T$3:$T$2094,MISSIONS!$I$3:$I$2094,C$1)</f>
        <v>152.24831999999998</v>
      </c>
      <c r="D23" s="48">
        <f>SUMIFS(MISSIONS!$T$3:$T$2094,MISSIONS!$I$3:$I$2094,D$1)</f>
        <v>152.24831999999998</v>
      </c>
      <c r="E23" s="48">
        <f>SUMIFS(MISSIONS!$T$3:$T$2094,MISSIONS!$I$3:$I$2094,E$1)</f>
        <v>402.36736000000002</v>
      </c>
      <c r="F23" s="48">
        <f>SUMIFS(MISSIONS!$T$3:$T$2094,MISSIONS!$I$3:$I$2094,F$1)</f>
        <v>132.61055999999999</v>
      </c>
      <c r="G23" s="48">
        <f>SUMIFS(MISSIONS!$T$3:$T$2094,MISSIONS!$I$3:$I$2094,G$1)</f>
        <v>132.7296</v>
      </c>
      <c r="H23" s="48">
        <f>SUMIFS(MISSIONS!$T$3:$T$2094,MISSIONS!$I$3:$I$2094,H$1)</f>
        <v>132.96768</v>
      </c>
      <c r="I23" s="48">
        <f>SUMIFS(MISSIONS!$T$3:$T$2094,MISSIONS!$I$3:$I$2094,I$1)</f>
        <v>149.58864</v>
      </c>
      <c r="J23" s="48">
        <f>SUMIFS(MISSIONS!$T$3:$T$2094,MISSIONS!$I$3:$I$2094,J$1)</f>
        <v>186.98580000000001</v>
      </c>
      <c r="K23" s="48">
        <f>SUMIFS(MISSIONS!$T$3:$T$2094,MISSIONS!$I$3:$I$2094,K$1)</f>
        <v>0</v>
      </c>
      <c r="L23" s="10">
        <f>SUMIFS(MISSIONS!$T$3:$T$2094,MISSIONS!$I$3:$I$2094,L$1)</f>
        <v>0</v>
      </c>
      <c r="M23" s="48">
        <f>SUMIFS(MISSIONS!$T$3:$T$2094,MISSIONS!$I$3:$I$2094,M$1)</f>
        <v>0</v>
      </c>
      <c r="N23" s="48">
        <f>SUMIFS(MISSIONS!$T$3:$T$2094,MISSIONS!$I$3:$I$2094,N$1)</f>
        <v>0</v>
      </c>
      <c r="O23" s="65"/>
    </row>
    <row r="24" spans="1:15" s="90" customFormat="1" x14ac:dyDescent="0.25">
      <c r="A24" s="19" t="str">
        <f>MISSIONS!Z2</f>
        <v>Fred</v>
      </c>
      <c r="B24" s="52">
        <f t="shared" si="40"/>
        <v>56506.910924600001</v>
      </c>
      <c r="C24" s="48">
        <f>SUMIFS(MISSIONS!$Z$3:$Z$2094,MISSIONS!$I$3:$I$2094,C$1)</f>
        <v>5065.0060032000001</v>
      </c>
      <c r="D24" s="48">
        <f>SUMIFS(MISSIONS!$Z$3:$Z$2094,MISSIONS!$I$3:$I$2094,D$1)</f>
        <v>4990.2460031999999</v>
      </c>
      <c r="E24" s="48">
        <f>SUMIFS(MISSIONS!$Z$3:$Z$2094,MISSIONS!$I$3:$I$2094,E$1)</f>
        <v>5584.5716415999996</v>
      </c>
      <c r="F24" s="48">
        <f>SUMIFS(MISSIONS!$Z$3:$Z$2094,MISSIONS!$I$3:$I$2094,F$1)</f>
        <v>4697.6629248000008</v>
      </c>
      <c r="G24" s="48">
        <f>SUMIFS(MISSIONS!$Z$3:$Z$2094,MISSIONS!$I$3:$I$2094,G$1)</f>
        <v>5511.7360896</v>
      </c>
      <c r="H24" s="48">
        <f>SUMIFS(MISSIONS!$Z$3:$Z$2094,MISSIONS!$I$3:$I$2094,H$1)</f>
        <v>5116.1333871999996</v>
      </c>
      <c r="I24" s="48">
        <f>SUMIFS(MISSIONS!$Z$3:$Z$2094,MISSIONS!$I$3:$I$2094,I$1)</f>
        <v>6978.815595</v>
      </c>
      <c r="J24" s="48">
        <f>SUMIFS(MISSIONS!$Z$3:$Z$2094,MISSIONS!$I$3:$I$2094,J$1)</f>
        <v>5162.3265600000004</v>
      </c>
      <c r="K24" s="48">
        <f>SUMIFS(MISSIONS!$Z$3:$Z$2094,MISSIONS!$I$3:$I$2094,K$1)</f>
        <v>5904.2259599999998</v>
      </c>
      <c r="L24" s="4">
        <f>SUMIFS(MISSIONS!$Z$3:$Z$2094,MISSIONS!$I$3:$I$2094,L$1)</f>
        <v>7304.2599599999958</v>
      </c>
      <c r="M24" s="4">
        <f>SUMIFS(MISSIONS!$Z$3:$Z$2094,MISSIONS!$I$3:$I$2094,M$1)</f>
        <v>95.963400000000007</v>
      </c>
      <c r="N24" s="4">
        <f>SUMIFS(MISSIONS!$Z$3:$Z$2094,MISSIONS!$I$3:$I$2094,N$1)</f>
        <v>95.963400000000007</v>
      </c>
      <c r="O24" s="65"/>
    </row>
    <row r="25" spans="1:15" s="90" customFormat="1" x14ac:dyDescent="0.25">
      <c r="A25" s="19" t="str">
        <f>MISSIONS!AB2</f>
        <v>Eric</v>
      </c>
      <c r="B25" s="52">
        <f t="shared" si="40"/>
        <v>1593.8935999999999</v>
      </c>
      <c r="C25" s="48">
        <f>SUMIFS(MISSIONS!$AB$3:$AB$2094,MISSIONS!$I$3:$I$2094,C$1)+C38</f>
        <v>13.35</v>
      </c>
      <c r="D25" s="48">
        <f>SUMIFS(MISSIONS!$AB$3:$AB$2094,MISSIONS!$I$3:$I$2094,D$1)+D38</f>
        <v>0</v>
      </c>
      <c r="E25" s="48">
        <f>SUMIFS(MISSIONS!$AB$3:$AB$2094,MISSIONS!$I$3:$I$2094,E$1)+E38</f>
        <v>0</v>
      </c>
      <c r="F25" s="48">
        <f>SUMIFS(MISSIONS!$AB$3:$AB$2094,MISSIONS!$I$3:$I$2094,F$1)+F38</f>
        <v>13.35</v>
      </c>
      <c r="G25" s="48">
        <f>SUMIFS(MISSIONS!$AB$3:$AB$2094,MISSIONS!$I$3:$I$2094,G$1)+G38</f>
        <v>0</v>
      </c>
      <c r="H25" s="48">
        <f>SUMIFS(MISSIONS!$AB$3:$AB$2094,MISSIONS!$I$3:$I$2094,H$1)+H38</f>
        <v>13.35</v>
      </c>
      <c r="I25" s="48">
        <f>SUMIFS(MISSIONS!$AB$3:$AB$2094,MISSIONS!$I$3:$I$2094,I$1)+I38</f>
        <v>0</v>
      </c>
      <c r="J25" s="48">
        <f>SUMIFS(MISSIONS!$AB$3:$AB$2094,MISSIONS!$I$3:$I$2094,J$1)+J38</f>
        <v>228.46590000000003</v>
      </c>
      <c r="K25" s="48">
        <f>SUMIFS(MISSIONS!$AB$3:$AB$2094,MISSIONS!$I$3:$I$2094,K$1)+K38</f>
        <v>283.32724999999999</v>
      </c>
      <c r="L25" s="4">
        <f>SUMIFS(MISSIONS!$AB$3:$AB$2094,MISSIONS!$I$3:$I$2094,L$1)+L38</f>
        <v>1005.1414499999998</v>
      </c>
      <c r="M25" s="4">
        <f>SUMIFS(MISSIONS!$AB$3:$AB$2094,MISSIONS!$I$3:$I$2094,M$1)+M38</f>
        <v>18.454499999999999</v>
      </c>
      <c r="N25" s="4">
        <f>SUMIFS(MISSIONS!$AB$3:$AB$2094,MISSIONS!$I$3:$I$2094,N$1)+N38</f>
        <v>18.454499999999999</v>
      </c>
      <c r="O25" s="65"/>
    </row>
    <row r="26" spans="1:15" s="90" customFormat="1" x14ac:dyDescent="0.25">
      <c r="A26" s="19" t="str">
        <f>MISSIONS!AD2</f>
        <v>Boom</v>
      </c>
      <c r="B26" s="52">
        <f t="shared" si="40"/>
        <v>284.36261999999999</v>
      </c>
      <c r="C26" s="48">
        <f>SUMIFS(MISSIONS!$AD$3:$AD$2094,MISSIONS!$I$3:$I$2094,C$1)</f>
        <v>0</v>
      </c>
      <c r="D26" s="48">
        <f>SUMIFS(MISSIONS!$AD$3:$AD$2094,MISSIONS!$I$3:$I$2094,D$1)</f>
        <v>0</v>
      </c>
      <c r="E26" s="48">
        <f>SUMIFS(MISSIONS!$AD$3:$AD$2094,MISSIONS!$I$3:$I$2094,E$1)</f>
        <v>0</v>
      </c>
      <c r="F26" s="48">
        <f>SUMIFS(MISSIONS!$AD$3:$AD$2094,MISSIONS!$I$3:$I$2094,F$1)</f>
        <v>0</v>
      </c>
      <c r="G26" s="48">
        <f>SUMIFS(MISSIONS!$AD$3:$AD$2094,MISSIONS!$I$3:$I$2094,G$1)</f>
        <v>0</v>
      </c>
      <c r="H26" s="48">
        <f>SUMIFS(MISSIONS!$AD$3:$AD$2094,MISSIONS!$I$3:$I$2094,H$1)</f>
        <v>0</v>
      </c>
      <c r="I26" s="48">
        <f>SUMIFS(MISSIONS!$AD$3:$AD$2094,MISSIONS!$I$3:$I$2094,I$1)</f>
        <v>0</v>
      </c>
      <c r="J26" s="48">
        <f>SUMIFS(MISSIONS!$AD$3:$AD$2094,MISSIONS!$I$3:$I$2094,J$1)</f>
        <v>0</v>
      </c>
      <c r="K26" s="48">
        <f>SUMIFS(MISSIONS!$AD$3:$AD$2094,MISSIONS!$I$3:$I$2094,K$1)</f>
        <v>0</v>
      </c>
      <c r="L26" s="4">
        <f>SUMIFS(MISSIONS!$AD$3:$AD$2094,MISSIONS!$I$3:$I$2094,L$1)</f>
        <v>269.59902</v>
      </c>
      <c r="M26" s="4">
        <f>SUMIFS(MISSIONS!$AD$3:$AD$2094,MISSIONS!$I$3:$I$2094,M$1)</f>
        <v>7.3818000000000001</v>
      </c>
      <c r="N26" s="4">
        <f>SUMIFS(MISSIONS!$AD$3:$AD$2094,MISSIONS!$I$3:$I$2094,N$1)</f>
        <v>7.3818000000000001</v>
      </c>
      <c r="O26" s="65"/>
    </row>
    <row r="27" spans="1:15" s="90" customFormat="1" x14ac:dyDescent="0.25">
      <c r="A27" s="35" t="str">
        <f>MISSIONS!AF2</f>
        <v>Damien</v>
      </c>
      <c r="B27" s="52">
        <f t="shared" si="40"/>
        <v>0</v>
      </c>
      <c r="C27" s="48">
        <f>SUMIFS(MISSIONS!$AF$3:$AF$2094,MISSIONS!$I$3:$I$2094,C$1)</f>
        <v>0</v>
      </c>
      <c r="D27" s="48">
        <f>SUMIFS(MISSIONS!$AF$3:$AF$2094,MISSIONS!$I$3:$I$2094,D$1)</f>
        <v>0</v>
      </c>
      <c r="E27" s="48">
        <f>SUMIFS(MISSIONS!$AF$3:$AF$2094,MISSIONS!$I$3:$I$2094,E$1)</f>
        <v>0</v>
      </c>
      <c r="F27" s="48">
        <f>SUMIFS(MISSIONS!$AF$3:$AF$2094,MISSIONS!$I$3:$I$2094,F$1)</f>
        <v>0</v>
      </c>
      <c r="G27" s="48">
        <f>SUMIFS(MISSIONS!$AF$3:$AF$2094,MISSIONS!$I$3:$I$2094,G$1)</f>
        <v>0</v>
      </c>
      <c r="H27" s="48">
        <f>SUMIFS(MISSIONS!$AF$3:$AF$2094,MISSIONS!$I$3:$I$2094,H$1)</f>
        <v>0</v>
      </c>
      <c r="I27" s="48">
        <f>SUMIFS(MISSIONS!$AF$3:$AF$2094,MISSIONS!$I$3:$I$2094,I$1)</f>
        <v>0</v>
      </c>
      <c r="J27" s="48">
        <f>SUMIFS(MISSIONS!$AF$3:$AF$2094,MISSIONS!$I$3:$I$2094,J$1)</f>
        <v>0</v>
      </c>
      <c r="K27" s="48">
        <f>SUMIFS(MISSIONS!$AF$3:$AF$2094,MISSIONS!$I$3:$I$2094,K$1)</f>
        <v>0</v>
      </c>
      <c r="L27" s="10">
        <f>SUMIFS(MISSIONS!$AF$3:$AF$2094,MISSIONS!$I$3:$I$2094,L$1)</f>
        <v>0</v>
      </c>
      <c r="M27" s="48">
        <f>SUMIFS(MISSIONS!$AF$3:$AF$2094,MISSIONS!$I$3:$I$2094,M$1)</f>
        <v>0</v>
      </c>
      <c r="N27" s="48">
        <f>SUMIFS(MISSIONS!$AF$3:$AF$2094,MISSIONS!$I$3:$I$2094,N$1)</f>
        <v>0</v>
      </c>
      <c r="O27" s="65"/>
    </row>
    <row r="28" spans="1:15" s="90" customFormat="1" x14ac:dyDescent="0.25">
      <c r="A28" s="19" t="str">
        <f>MISSIONS!AH2</f>
        <v>Maitre</v>
      </c>
      <c r="B28" s="52">
        <f>SUM(C28:N28)+O28</f>
        <v>0</v>
      </c>
      <c r="C28" s="48">
        <f>SUMIFS(MISSIONS!$AH$3:$AH$2094,MISSIONS!$I$3:$I$2094,C$1)</f>
        <v>0</v>
      </c>
      <c r="D28" s="48">
        <f>SUMIFS(MISSIONS!$AH$3:$AH$2094,MISSIONS!$I$3:$I$2094,D$1)</f>
        <v>0</v>
      </c>
      <c r="E28" s="48">
        <f>SUMIFS(MISSIONS!$AH$3:$AH$2094,MISSIONS!$I$3:$I$2094,E$1)</f>
        <v>0</v>
      </c>
      <c r="F28" s="48">
        <f>SUMIFS(MISSIONS!$AH$3:$AH$2094,MISSIONS!$I$3:$I$2094,F$1)</f>
        <v>0</v>
      </c>
      <c r="G28" s="48"/>
      <c r="H28" s="48"/>
      <c r="I28" s="48">
        <f>SUMIFS(MISSIONS!$AH$3:$AH$2094,MISSIONS!$I$3:$I$2094,I$1)</f>
        <v>0</v>
      </c>
      <c r="J28" s="48"/>
      <c r="K28" s="48"/>
      <c r="L28" s="10">
        <f>SUMIFS(MISSIONS!$AH$3:$AH$2094,MISSIONS!$I$3:$I$2094,L$1)</f>
        <v>0</v>
      </c>
      <c r="M28" s="48">
        <f>SUMIFS(MISSIONS!$AH$3:$AH$2094,MISSIONS!$I$3:$I$2094,M$1)</f>
        <v>0</v>
      </c>
      <c r="N28" s="48">
        <f>SUMIFS(MISSIONS!$AH$3:$AH$2094,MISSIONS!$I$3:$I$2094,N$1)</f>
        <v>0</v>
      </c>
      <c r="O28" s="65"/>
    </row>
    <row r="29" spans="1:15" s="90" customFormat="1" x14ac:dyDescent="0.25">
      <c r="A29" s="19" t="str">
        <f>MISSIONS!AJ2</f>
        <v>x</v>
      </c>
      <c r="B29" s="52">
        <f t="shared" ref="B29:B33" si="41">SUM(C29:N29)+O29</f>
        <v>0</v>
      </c>
      <c r="C29" s="48">
        <f>SUMIFS(MISSIONS!$AJ$3:$AJ$2094,MISSIONS!$I$3:$I$2094,C$1)</f>
        <v>0</v>
      </c>
      <c r="D29" s="48">
        <f>SUMIFS(MISSIONS!$AJ$3:$AJ$2094,MISSIONS!$I$3:$I$2094,D$1)</f>
        <v>0</v>
      </c>
      <c r="E29" s="48">
        <f>SUMIFS(MISSIONS!$AJ$3:$AJ$2094,MISSIONS!$I$3:$I$2094,E$1)</f>
        <v>0</v>
      </c>
      <c r="F29" s="48">
        <f>SUMIFS(MISSIONS!$AJ$3:$AJ$2094,MISSIONS!$I$3:$I$2094,F$1)</f>
        <v>0</v>
      </c>
      <c r="G29" s="48">
        <f>SUMIFS(MISSIONS!$AJ$3:$AJ$2094,MISSIONS!$I$3:$I$2094,G$1)</f>
        <v>0</v>
      </c>
      <c r="H29" s="48">
        <f>SUMIFS(MISSIONS!$AJ$3:$AJ$2094,MISSIONS!$I$3:$I$2094,H$1)</f>
        <v>0</v>
      </c>
      <c r="I29" s="48">
        <f>SUMIFS(MISSIONS!$AJ$3:$AJ$2094,MISSIONS!$I$3:$I$2094,I$1)</f>
        <v>0</v>
      </c>
      <c r="J29" s="48">
        <f>SUMIFS(MISSIONS!$AJ$3:$AJ$2094,MISSIONS!$I$3:$I$2094,J$1)</f>
        <v>0</v>
      </c>
      <c r="K29" s="48">
        <f>SUMIFS(MISSIONS!$AJ$3:$AJ$2094,MISSIONS!$I$3:$I$2094,K$1)</f>
        <v>0</v>
      </c>
      <c r="L29" s="10">
        <f>SUMIFS(MISSIONS!$AJ$3:$AJ$2094,MISSIONS!$I$3:$I$2094,L$1)</f>
        <v>0</v>
      </c>
      <c r="M29" s="48">
        <f>SUMIFS(MISSIONS!$AJ$3:$AJ$2094,MISSIONS!$I$3:$I$2094,M$1)</f>
        <v>0</v>
      </c>
      <c r="N29" s="48">
        <f>SUMIFS(MISSIONS!$AJ$3:$AJ$2094,MISSIONS!$I$3:$I$2094,N$1)</f>
        <v>0</v>
      </c>
      <c r="O29" s="65"/>
    </row>
    <row r="30" spans="1:15" s="90" customFormat="1" x14ac:dyDescent="0.25">
      <c r="A30" s="19" t="str">
        <f>MISSIONS!AL2</f>
        <v>x</v>
      </c>
      <c r="B30" s="52">
        <f t="shared" si="41"/>
        <v>0</v>
      </c>
      <c r="C30" s="48">
        <f>SUMIFS(MISSIONS!$AL$3:$AL$2094,MISSIONS!$I$3:$I$2094,C$1)+C40</f>
        <v>0</v>
      </c>
      <c r="D30" s="48">
        <f>SUMIFS(MISSIONS!$AL$3:$AL$2094,MISSIONS!$I$3:$I$2094,D$1)+D40</f>
        <v>0</v>
      </c>
      <c r="E30" s="48">
        <f>SUMIFS(MISSIONS!$AL$3:$AL$2094,MISSIONS!$I$3:$I$2094,E$1)+E40</f>
        <v>0</v>
      </c>
      <c r="F30" s="48">
        <f>SUMIFS(MISSIONS!$AL$3:$AL$2094,MISSIONS!$I$3:$I$2094,F$1)+F40</f>
        <v>0</v>
      </c>
      <c r="G30" s="48">
        <f>SUMIFS(MISSIONS!$AL$3:$AL$2094,MISSIONS!$I$3:$I$2094,G$1)+G40</f>
        <v>0</v>
      </c>
      <c r="H30" s="48">
        <f>SUMIFS(MISSIONS!$AL$3:$AL$2094,MISSIONS!$I$3:$I$2094,H$1)+H40</f>
        <v>0</v>
      </c>
      <c r="I30" s="48">
        <f>SUMIFS(MISSIONS!$AL$3:$AL$2094,MISSIONS!$I$3:$I$2094,I$1)+I40</f>
        <v>0</v>
      </c>
      <c r="J30" s="48">
        <f>SUMIFS(MISSIONS!$AL$3:$AL$2094,MISSIONS!$I$3:$I$2094,J$1)+J40</f>
        <v>0</v>
      </c>
      <c r="K30" s="48">
        <f>SUMIFS(MISSIONS!$AL$3:$AL$2094,MISSIONS!$I$3:$I$2094,K$1)+K40</f>
        <v>0</v>
      </c>
      <c r="L30" s="48">
        <f>SUMIFS(MISSIONS!$AL$3:$AL$2094,MISSIONS!$I$3:$I$2094,L$1)+L40</f>
        <v>0</v>
      </c>
      <c r="M30" s="48">
        <f>SUMIFS(MISSIONS!$AL$3:$AL$2094,MISSIONS!$I$3:$I$2094,M$1)+M40</f>
        <v>0</v>
      </c>
      <c r="N30" s="48">
        <f>SUMIFS(MISSIONS!$AL$3:$AL$2094,MISSIONS!$I$3:$I$2094,N$1)+N40</f>
        <v>0</v>
      </c>
      <c r="O30" s="65"/>
    </row>
    <row r="31" spans="1:15" s="90" customFormat="1" x14ac:dyDescent="0.25">
      <c r="A31" s="19" t="str">
        <f>MISSIONS!AN2</f>
        <v>x</v>
      </c>
      <c r="B31" s="52">
        <f t="shared" si="41"/>
        <v>0</v>
      </c>
      <c r="C31" s="48">
        <f>SUMIFS(MISSIONS!$AP$3:$AP$2094,MISSIONS!$I$3:$I$2094,C$1)</f>
        <v>0</v>
      </c>
      <c r="D31" s="48">
        <f>SUMIFS(MISSIONS!$AN$3:$AN$2094,MISSIONS!$I$3:$I$2094,D$1)</f>
        <v>0</v>
      </c>
      <c r="E31" s="48">
        <f>SUMIFS(MISSIONS!$AN$3:$AN$2094,MISSIONS!$I$3:$I$2094,E$1)</f>
        <v>0</v>
      </c>
      <c r="F31" s="48">
        <f>SUMIFS(MISSIONS!$AN$3:$AN$2094,MISSIONS!$I$3:$I$2094,F$1)</f>
        <v>0</v>
      </c>
      <c r="G31" s="48">
        <f>SUMIFS(MISSIONS!$AN$3:$AN$2094,MISSIONS!$I$3:$I$2094,G$1)</f>
        <v>0</v>
      </c>
      <c r="H31" s="48">
        <f>SUMIFS(MISSIONS!$AN$3:$AN$2094,MISSIONS!$I$3:$I$2094,H$1)</f>
        <v>0</v>
      </c>
      <c r="I31" s="48">
        <f>SUMIFS(MISSIONS!$AN$3:$AN$2094,MISSIONS!$I$3:$I$2094,I$1)</f>
        <v>0</v>
      </c>
      <c r="J31" s="48">
        <f>SUMIFS(MISSIONS!$AN$3:$AN$2094,MISSIONS!$I$3:$I$2094,J$1)</f>
        <v>0</v>
      </c>
      <c r="K31" s="48">
        <f>SUMIFS(MISSIONS!$AN$3:$AN$2094,MISSIONS!$I$3:$I$2094,K$1)</f>
        <v>0</v>
      </c>
      <c r="L31" s="10">
        <f>SUMIFS(MISSIONS!$AN$3:$AN$2094,MISSIONS!$I$3:$I$2094,L$1)</f>
        <v>0</v>
      </c>
      <c r="M31" s="48">
        <f>SUMIFS(MISSIONS!$AN$3:$AN$2094,MISSIONS!$I$3:$I$2094,M$1)</f>
        <v>0</v>
      </c>
      <c r="N31" s="48">
        <f>SUMIFS(MISSIONS!$AN$3:$AN$2094,MISSIONS!$I$3:$I$2094,N$1)</f>
        <v>0</v>
      </c>
      <c r="O31" s="65"/>
    </row>
    <row r="32" spans="1:15" s="90" customFormat="1" x14ac:dyDescent="0.25">
      <c r="A32" s="19" t="str">
        <f>MISSIONS!AP2</f>
        <v>x</v>
      </c>
      <c r="B32" s="52">
        <f t="shared" si="41"/>
        <v>0</v>
      </c>
      <c r="C32" s="48">
        <f>SUMIFS(MISSIONS!$AP$3:$AP$2094,MISSIONS!$I$3:$I$2094,C$1)</f>
        <v>0</v>
      </c>
      <c r="D32" s="48">
        <f>SUMIFS(MISSIONS!$AP$3:$AP$2094,MISSIONS!$I$3:$I$2094,D$1)</f>
        <v>0</v>
      </c>
      <c r="E32" s="48">
        <f>SUMIFS(MISSIONS!$AP$3:$AP$2094,MISSIONS!$I$3:$I$2094,E$1)</f>
        <v>0</v>
      </c>
      <c r="F32" s="48">
        <f>SUMIFS(MISSIONS!$AP$3:$AP$2094,MISSIONS!$I$3:$I$2094,F$1)</f>
        <v>0</v>
      </c>
      <c r="G32" s="48">
        <f>SUMIFS(MISSIONS!$AP$3:$AP$2094,MISSIONS!$I$3:$I$2094,G$1)</f>
        <v>0</v>
      </c>
      <c r="H32" s="48">
        <f>SUMIFS(MISSIONS!$AP$3:$AP$2094,MISSIONS!$I$3:$I$2094,H$1)</f>
        <v>0</v>
      </c>
      <c r="I32" s="48">
        <f>SUMIFS(MISSIONS!$AP$3:$AP$2094,MISSIONS!$I$3:$I$2094,I$1)</f>
        <v>0</v>
      </c>
      <c r="J32" s="48">
        <f>SUMIFS(MISSIONS!$AP$3:$AP$2094,MISSIONS!$I$3:$I$2094,J$1)</f>
        <v>0</v>
      </c>
      <c r="K32" s="48">
        <f>SUMIFS(MISSIONS!$AP$3:$AP$2094,MISSIONS!$I$3:$I$2094,K$1)</f>
        <v>0</v>
      </c>
      <c r="L32" s="10">
        <f>SUMIFS(MISSIONS!$AP$3:$AP$2094,MISSIONS!$I$3:$I$2094,L$1)</f>
        <v>0</v>
      </c>
      <c r="M32" s="48">
        <f>SUMIFS(MISSIONS!$AP$3:$AP$2094,MISSIONS!$I$3:$I$2094,M$1)</f>
        <v>0</v>
      </c>
      <c r="N32" s="48">
        <f>SUMIFS(MISSIONS!$AP$3:$AP$2094,MISSIONS!$I$3:$I$2094,N$1)</f>
        <v>0</v>
      </c>
      <c r="O32" s="65"/>
    </row>
    <row r="33" spans="1:15" s="90" customFormat="1" x14ac:dyDescent="0.25">
      <c r="A33" s="19" t="str">
        <f>MISSIONS!AR2</f>
        <v>x</v>
      </c>
      <c r="B33" s="52">
        <f t="shared" si="41"/>
        <v>0</v>
      </c>
      <c r="C33" s="48">
        <f>SUMIFS(MISSIONS!$AR$3:$AR$2094,MISSIONS!$I$3:$I$2094,C$1)</f>
        <v>0</v>
      </c>
      <c r="D33" s="48">
        <f>SUMIFS(MISSIONS!$AR$3:$AR$2094,MISSIONS!$I$3:$I$2094,D$1)</f>
        <v>0</v>
      </c>
      <c r="E33" s="48">
        <f>SUMIFS(MISSIONS!$AR$3:$AR$2094,MISSIONS!$I$3:$I$2094,E$1)</f>
        <v>0</v>
      </c>
      <c r="F33" s="48">
        <f>SUMIFS(MISSIONS!$AR$3:$AR$2094,MISSIONS!$I$3:$I$2094,F$1)</f>
        <v>0</v>
      </c>
      <c r="G33" s="48">
        <f>SUMIFS(MISSIONS!$AR$3:$AR$2094,MISSIONS!$I$3:$I$2094,G$1)</f>
        <v>0</v>
      </c>
      <c r="H33" s="48">
        <f>SUMIFS(MISSIONS!$AR$3:$AR$2094,MISSIONS!$I$3:$I$2094,H$1)</f>
        <v>0</v>
      </c>
      <c r="I33" s="48">
        <f>SUMIFS(MISSIONS!$AR$3:$AR$2094,MISSIONS!$I$3:$I$2094,I$1)</f>
        <v>0</v>
      </c>
      <c r="J33" s="48">
        <f>SUMIFS(MISSIONS!$AR$3:$AR$2094,MISSIONS!$I$3:$I$2094,J$1)</f>
        <v>0</v>
      </c>
      <c r="K33" s="48">
        <f>SUMIFS(MISSIONS!$AR$3:$AR$2094,MISSIONS!$I$3:$I$2094,K$1)</f>
        <v>0</v>
      </c>
      <c r="L33" s="10">
        <f>SUMIFS(MISSIONS!$AR$3:$AR$2094,MISSIONS!$I$3:$I$2094,L$1)</f>
        <v>0</v>
      </c>
      <c r="M33" s="48">
        <f>SUMIFS(MISSIONS!$AR$3:$AR$2094,MISSIONS!$I$3:$I$2094,M$1)</f>
        <v>0</v>
      </c>
      <c r="N33" s="48"/>
      <c r="O33" s="65"/>
    </row>
    <row r="34" spans="1:15" x14ac:dyDescent="0.25">
      <c r="A34" s="39"/>
      <c r="B34" s="33"/>
      <c r="C34" s="47"/>
      <c r="D34" s="47"/>
      <c r="E34" s="47"/>
      <c r="F34" s="47"/>
      <c r="G34" s="47"/>
      <c r="H34" s="47"/>
      <c r="I34" s="47"/>
      <c r="J34" s="47"/>
      <c r="K34" s="47"/>
      <c r="L34" s="33"/>
      <c r="M34" s="47"/>
      <c r="N34" s="47"/>
    </row>
    <row r="35" spans="1:15" x14ac:dyDescent="0.25">
      <c r="A35" s="50" t="s">
        <v>144</v>
      </c>
      <c r="B35" s="28">
        <f>SUM(C35:N35)</f>
        <v>17919.745475399999</v>
      </c>
      <c r="C35" s="28">
        <f t="shared" ref="C35:N35" si="42">C5-SUM(C10:C17)-SUM(C22:C33)</f>
        <v>697.93407679999927</v>
      </c>
      <c r="D35" s="28">
        <f t="shared" si="42"/>
        <v>697.04407679999986</v>
      </c>
      <c r="E35" s="28">
        <f t="shared" si="42"/>
        <v>1077.8201984000007</v>
      </c>
      <c r="F35" s="28">
        <f t="shared" si="42"/>
        <v>654.53411519999918</v>
      </c>
      <c r="G35" s="28">
        <f t="shared" si="42"/>
        <v>1682.7095104</v>
      </c>
      <c r="H35" s="28">
        <f t="shared" si="42"/>
        <v>3221.2377327999993</v>
      </c>
      <c r="I35" s="28">
        <f t="shared" si="42"/>
        <v>636.45956500000011</v>
      </c>
      <c r="J35" s="28">
        <f t="shared" si="42"/>
        <v>595.24073999999928</v>
      </c>
      <c r="K35" s="28">
        <f t="shared" si="42"/>
        <v>3482.1482899999992</v>
      </c>
      <c r="L35" s="28">
        <f t="shared" si="42"/>
        <v>5473.5565700000043</v>
      </c>
      <c r="M35" s="28">
        <f t="shared" si="42"/>
        <v>-149.46969999999999</v>
      </c>
      <c r="N35" s="28">
        <f t="shared" si="42"/>
        <v>-149.46969999999999</v>
      </c>
    </row>
    <row r="36" spans="1:15" x14ac:dyDescent="0.25">
      <c r="A36" s="36"/>
      <c r="B36" s="31"/>
      <c r="C36" s="46"/>
      <c r="D36" s="46"/>
      <c r="E36" s="46"/>
      <c r="F36" s="46"/>
      <c r="G36" s="46"/>
      <c r="H36" s="46"/>
      <c r="I36" s="46"/>
      <c r="J36" s="46"/>
      <c r="K36" s="46"/>
      <c r="L36" s="31"/>
      <c r="M36" s="46"/>
      <c r="N36" s="46"/>
    </row>
    <row r="37" spans="1:15" x14ac:dyDescent="0.25">
      <c r="A37" s="38" t="s">
        <v>23</v>
      </c>
      <c r="B37" s="34"/>
      <c r="C37" s="47"/>
      <c r="D37" s="47"/>
      <c r="E37" s="47"/>
      <c r="F37" s="47"/>
      <c r="G37" s="47"/>
      <c r="H37" s="47"/>
      <c r="I37" s="47"/>
      <c r="J37" s="47"/>
      <c r="K37" s="47"/>
      <c r="L37" s="34"/>
      <c r="M37" s="47"/>
      <c r="N37" s="47"/>
    </row>
    <row r="38" spans="1:15" s="63" customFormat="1" ht="12.75" x14ac:dyDescent="0.25">
      <c r="A38" s="81" t="str">
        <f>Données!$A2</f>
        <v>Eric A</v>
      </c>
      <c r="B38" s="83">
        <f t="shared" ref="B38:B42" si="43">SUM(C38:N38)</f>
        <v>0</v>
      </c>
      <c r="C38" s="83">
        <f>SUMIFS(MISSIONS!$B$3:$B$2094,MISSIONS!$I$3:$I$2094,C$1,MISSIONS!$A$3:$A$2094,Données!$A2)+
SUMIFS(MISSIONS!$D$3:$D$2094,MISSIONS!$I$3:$I$2094,C$1,MISSIONS!$C$3:$C$2094,Données!$A2)</f>
        <v>0</v>
      </c>
      <c r="D38" s="83">
        <f>SUMIFS(MISSIONS!$B$3:$B$2094,MISSIONS!$I$3:$I$2094,D$1,MISSIONS!$A$3:$A$2094,Données!$A2)+
SUMIFS(MISSIONS!$D$3:$D$2094,MISSIONS!$I$3:$I$2094,D$1,MISSIONS!$C$3:$C$2094,Données!$A2)</f>
        <v>0</v>
      </c>
      <c r="E38" s="83">
        <f>SUMIFS(MISSIONS!$B$3:$B$2094,MISSIONS!$I$3:$I$2094,E$1,MISSIONS!$A$3:$A$2094,Données!$A2)+
SUMIFS(MISSIONS!$D$3:$D$2094,MISSIONS!$I$3:$I$2094,E$1,MISSIONS!$C$3:$C$2094,Données!$A2)</f>
        <v>0</v>
      </c>
      <c r="F38" s="83">
        <f>SUMIFS(MISSIONS!$B$3:$B$2094,MISSIONS!$I$3:$I$2094,F$1,MISSIONS!$A$3:$A$2094,Données!$A2)+
SUMIFS(MISSIONS!$D$3:$D$2094,MISSIONS!$I$3:$I$2094,F$1,MISSIONS!$C$3:$C$2094,Données!$A2)</f>
        <v>0</v>
      </c>
      <c r="G38" s="83">
        <f>SUMIFS(MISSIONS!$B$3:$B$2094,MISSIONS!$I$3:$I$2094,G$1,MISSIONS!$A$3:$A$2094,Données!$A2)+
SUMIFS(MISSIONS!$D$3:$D$2094,MISSIONS!$I$3:$I$2094,G$1,MISSIONS!$C$3:$C$2094,Données!$A2)</f>
        <v>0</v>
      </c>
      <c r="H38" s="83">
        <f>SUMIFS(MISSIONS!$B$3:$B$2094,MISSIONS!$I$3:$I$2094,H$1,MISSIONS!$A$3:$A$2094,Données!$A2)+
SUMIFS(MISSIONS!$D$3:$D$2094,MISSIONS!$I$3:$I$2094,H$1,MISSIONS!$C$3:$C$2094,Données!$A2)</f>
        <v>0</v>
      </c>
      <c r="I38" s="83">
        <f>SUMIFS(MISSIONS!$B$3:$B$2094,MISSIONS!$I$3:$I$2094,I$1,MISSIONS!$A$3:$A$2094,Données!$A2)+
SUMIFS(MISSIONS!$D$3:$D$2094,MISSIONS!$I$3:$I$2094,I$1,MISSIONS!$C$3:$C$2094,Données!$A2)</f>
        <v>0</v>
      </c>
      <c r="J38" s="83">
        <f>SUMIFS(MISSIONS!$B$3:$B$2094,MISSIONS!$I$3:$I$2094,J$1,MISSIONS!$A$3:$A$2094,Données!$A2)+
SUMIFS(MISSIONS!$D$3:$D$2094,MISSIONS!$I$3:$I$2094,J$1,MISSIONS!$C$3:$C$2094,Données!$A2)</f>
        <v>0</v>
      </c>
      <c r="K38" s="83">
        <f>SUMIFS(MISSIONS!$B$3:$B$2094,MISSIONS!$I$3:$I$2094,K$1,MISSIONS!$A$3:$A$2094,Données!$A2)+
SUMIFS(MISSIONS!$D$3:$D$2094,MISSIONS!$I$3:$I$2094,K$1,MISSIONS!$C$3:$C$2094,Données!$A2)</f>
        <v>0</v>
      </c>
      <c r="L38" s="16">
        <f>SUMIFS(MISSIONS!$B$3:$B$2094,MISSIONS!$I$3:$I$2094,L$1,MISSIONS!$A$3:$A$2094,Données!$A2)+
SUMIFS(MISSIONS!$D$3:$D$2094,MISSIONS!$I$3:$I$2094,L$1,MISSIONS!$C$3:$C$2094,Données!$A2)</f>
        <v>0</v>
      </c>
      <c r="M38" s="83">
        <f>SUMIFS(MISSIONS!$B$3:$B$2094,MISSIONS!$I$3:$I$2094,M$1,MISSIONS!$A$3:$A$2094,Données!$A2)+
SUMIFS(MISSIONS!$D$3:$D$2094,MISSIONS!$I$3:$I$2094,M$1,MISSIONS!$C$3:$C$2094,Données!$A2)</f>
        <v>0</v>
      </c>
      <c r="N38" s="83">
        <f>SUMIFS(MISSIONS!$B$3:$B$2094,MISSIONS!$I$3:$I$2094,N$1,MISSIONS!$A$3:$A$2094,Données!$A2)+
SUMIFS(MISSIONS!$D$3:$D$2094,MISSIONS!$I$3:$I$2094,N$1,MISSIONS!$C$3:$C$2094,Données!$A2)</f>
        <v>0</v>
      </c>
      <c r="O38" s="116"/>
    </row>
    <row r="39" spans="1:15" s="64" customFormat="1" x14ac:dyDescent="0.25">
      <c r="A39" s="81" t="str">
        <f>Données!$A3</f>
        <v>Fred</v>
      </c>
      <c r="B39" s="83">
        <f t="shared" si="43"/>
        <v>0</v>
      </c>
      <c r="C39" s="83">
        <f>SUMIFS(MISSIONS!$B$3:$B$2094,MISSIONS!$I$3:$I$2094,C$1,MISSIONS!$A$3:$A$2094,Données!$A3)+
SUMIFS(MISSIONS!$D$3:$D$2094,MISSIONS!$I$3:$I$2094,C$1,MISSIONS!$C$3:$C$2094,Données!$A3)</f>
        <v>0</v>
      </c>
      <c r="D39" s="83">
        <f>SUMIFS(MISSIONS!$B$3:$B$2094,MISSIONS!$I$3:$I$2094,D$1,MISSIONS!$A$3:$A$2094,Données!$A3)+
SUMIFS(MISSIONS!$D$3:$D$2094,MISSIONS!$I$3:$I$2094,D$1,MISSIONS!$C$3:$C$2094,Données!$A3)</f>
        <v>0</v>
      </c>
      <c r="E39" s="83">
        <f>SUMIFS(MISSIONS!$B$3:$B$2094,MISSIONS!$I$3:$I$2094,E$1,MISSIONS!$A$3:$A$2094,Données!$A3)+
SUMIFS(MISSIONS!$D$3:$D$2094,MISSIONS!$I$3:$I$2094,E$1,MISSIONS!$C$3:$C$2094,Données!$A3)</f>
        <v>0</v>
      </c>
      <c r="F39" s="83">
        <f>SUMIFS(MISSIONS!$B$3:$B$2094,MISSIONS!$I$3:$I$2094,F$1,MISSIONS!$A$3:$A$2094,Données!$A3)+
SUMIFS(MISSIONS!$D$3:$D$2094,MISSIONS!$I$3:$I$2094,F$1,MISSIONS!$C$3:$C$2094,Données!$A3)</f>
        <v>0</v>
      </c>
      <c r="G39" s="83">
        <f>SUMIFS(MISSIONS!$B$3:$B$2094,MISSIONS!$I$3:$I$2094,G$1,MISSIONS!$A$3:$A$2094,Données!$A3)+
SUMIFS(MISSIONS!$D$3:$D$2094,MISSIONS!$I$3:$I$2094,G$1,MISSIONS!$C$3:$C$2094,Données!$A3)</f>
        <v>0</v>
      </c>
      <c r="H39" s="83">
        <f>SUMIFS(MISSIONS!$B$3:$B$2094,MISSIONS!$I$3:$I$2094,H$1,MISSIONS!$A$3:$A$2094,Données!$A3)+
SUMIFS(MISSIONS!$D$3:$D$2094,MISSIONS!$I$3:$I$2094,H$1,MISSIONS!$C$3:$C$2094,Données!$A3)</f>
        <v>0</v>
      </c>
      <c r="I39" s="83">
        <f>SUMIFS(MISSIONS!$B$3:$B$2094,MISSIONS!$I$3:$I$2094,I$1,MISSIONS!$A$3:$A$2094,Données!$A3)+
SUMIFS(MISSIONS!$D$3:$D$2094,MISSIONS!$I$3:$I$2094,I$1,MISSIONS!$C$3:$C$2094,Données!$A3)</f>
        <v>0</v>
      </c>
      <c r="J39" s="83">
        <f>SUMIFS(MISSIONS!$B$3:$B$2094,MISSIONS!$I$3:$I$2094,J$1,MISSIONS!$A$3:$A$2094,Données!$A3)+
SUMIFS(MISSIONS!$D$3:$D$2094,MISSIONS!$I$3:$I$2094,J$1,MISSIONS!$C$3:$C$2094,Données!$A3)</f>
        <v>0</v>
      </c>
      <c r="K39" s="83">
        <f>SUMIFS(MISSIONS!$B$3:$B$2094,MISSIONS!$I$3:$I$2094,K$1,MISSIONS!$A$3:$A$2094,Données!$A3)+
SUMIFS(MISSIONS!$D$3:$D$2094,MISSIONS!$I$3:$I$2094,K$1,MISSIONS!$C$3:$C$2094,Données!$A3)</f>
        <v>0</v>
      </c>
      <c r="L39" s="83">
        <f>SUMIFS(MISSIONS!$B$3:$B$2094,MISSIONS!$I$3:$I$2094,L$1,MISSIONS!$A$3:$A$2094,Données!$A3)+
SUMIFS(MISSIONS!$D$3:$D$2094,MISSIONS!$I$3:$I$2094,L$1,MISSIONS!$C$3:$C$2094,Données!$A3)</f>
        <v>0</v>
      </c>
      <c r="M39" s="83">
        <f>SUMIFS(MISSIONS!$B$3:$B$2094,MISSIONS!$I$3:$I$2094,M$1,MISSIONS!$A$3:$A$2094,Données!$A3)+
SUMIFS(MISSIONS!$D$3:$D$2094,MISSIONS!$I$3:$I$2094,M$1,MISSIONS!$C$3:$C$2094,Données!$A3)</f>
        <v>0</v>
      </c>
      <c r="N39" s="83">
        <f>SUMIFS(MISSIONS!$B$3:$B$2094,MISSIONS!$I$3:$I$2094,N$1,MISSIONS!$A$3:$A$2094,Données!$A3)+
SUMIFS(MISSIONS!$D$3:$D$2094,MISSIONS!$I$3:$I$2094,N$1,MISSIONS!$C$3:$C$2094,Données!$A3)</f>
        <v>0</v>
      </c>
      <c r="O39" s="65"/>
    </row>
    <row r="40" spans="1:15" s="63" customFormat="1" ht="12.75" x14ac:dyDescent="0.25">
      <c r="A40" s="81" t="str">
        <f>Données!$A4</f>
        <v>Hervé</v>
      </c>
      <c r="B40" s="83">
        <f t="shared" si="43"/>
        <v>0</v>
      </c>
      <c r="C40" s="83">
        <f>SUMIFS(MISSIONS!$B$3:$B$2094,MISSIONS!$I$3:$I$2094,C$1,MISSIONS!$A$3:$A$2094,Données!$A4)+
SUMIFS(MISSIONS!$D$3:$D$2094,MISSIONS!$I$3:$I$2094,C$1,MISSIONS!$C$3:$C$2094,Données!$A4)</f>
        <v>0</v>
      </c>
      <c r="D40" s="83">
        <f>SUMIFS(MISSIONS!$B$3:$B$2094,MISSIONS!$I$3:$I$2094,D$1,MISSIONS!$A$3:$A$2094,Données!$A4)+
SUMIFS(MISSIONS!$D$3:$D$2094,MISSIONS!$I$3:$I$2094,D$1,MISSIONS!$C$3:$C$2094,Données!$A4)</f>
        <v>0</v>
      </c>
      <c r="E40" s="83">
        <f>SUMIFS(MISSIONS!$B$3:$B$2094,MISSIONS!$I$3:$I$2094,E$1,MISSIONS!$A$3:$A$2094,Données!$A4)+
SUMIFS(MISSIONS!$D$3:$D$2094,MISSIONS!$I$3:$I$2094,E$1,MISSIONS!$C$3:$C$2094,Données!$A4)</f>
        <v>0</v>
      </c>
      <c r="F40" s="83">
        <f>SUMIFS(MISSIONS!$B$3:$B$2094,MISSIONS!$I$3:$I$2094,F$1,MISSIONS!$A$3:$A$2094,Données!$A4)+
SUMIFS(MISSIONS!$D$3:$D$2094,MISSIONS!$I$3:$I$2094,F$1,MISSIONS!$C$3:$C$2094,Données!$A4)</f>
        <v>0</v>
      </c>
      <c r="G40" s="83">
        <f>SUMIFS(MISSIONS!$B$3:$B$2094,MISSIONS!$I$3:$I$2094,G$1,MISSIONS!$A$3:$A$2094,Données!$A4)+
SUMIFS(MISSIONS!$D$3:$D$2094,MISSIONS!$I$3:$I$2094,G$1,MISSIONS!$C$3:$C$2094,Données!$A4)</f>
        <v>0</v>
      </c>
      <c r="H40" s="83">
        <f>SUMIFS(MISSIONS!$B$3:$B$2094,MISSIONS!$I$3:$I$2094,H$1,MISSIONS!$A$3:$A$2094,Données!$A4)+
SUMIFS(MISSIONS!$D$3:$D$2094,MISSIONS!$I$3:$I$2094,H$1,MISSIONS!$C$3:$C$2094,Données!$A4)</f>
        <v>0</v>
      </c>
      <c r="I40" s="83">
        <f>SUMIFS(MISSIONS!$B$3:$B$2094,MISSIONS!$I$3:$I$2094,I$1,MISSIONS!$A$3:$A$2094,Données!$A4)+
SUMIFS(MISSIONS!$D$3:$D$2094,MISSIONS!$I$3:$I$2094,I$1,MISSIONS!$C$3:$C$2094,Données!$A4)</f>
        <v>0</v>
      </c>
      <c r="J40" s="83">
        <f>SUMIFS(MISSIONS!$B$3:$B$2094,MISSIONS!$I$3:$I$2094,J$1,MISSIONS!$A$3:$A$2094,Données!$A4)+
SUMIFS(MISSIONS!$D$3:$D$2094,MISSIONS!$I$3:$I$2094,J$1,MISSIONS!$C$3:$C$2094,Données!$A4)</f>
        <v>0</v>
      </c>
      <c r="K40" s="83">
        <f>SUMIFS(MISSIONS!$B$3:$B$2094,MISSIONS!$I$3:$I$2094,K$1,MISSIONS!$A$3:$A$2094,Données!$A4)+
SUMIFS(MISSIONS!$D$3:$D$2094,MISSIONS!$I$3:$I$2094,K$1,MISSIONS!$C$3:$C$2094,Données!$A4)</f>
        <v>0</v>
      </c>
      <c r="L40" s="83">
        <f>SUMIFS(MISSIONS!$B$3:$B$2094,MISSIONS!$I$3:$I$2094,L$1,MISSIONS!$A$3:$A$2094,Données!$A4)+
SUMIFS(MISSIONS!$D$3:$D$2094,MISSIONS!$I$3:$I$2094,L$1,MISSIONS!$C$3:$C$2094,Données!$A4)</f>
        <v>0</v>
      </c>
      <c r="M40" s="83">
        <f>SUMIFS(MISSIONS!$B$3:$B$2094,MISSIONS!$I$3:$I$2094,M$1,MISSIONS!$A$3:$A$2094,Données!$A4)+
SUMIFS(MISSIONS!$D$3:$D$2094,MISSIONS!$I$3:$I$2094,M$1,MISSIONS!$C$3:$C$2094,Données!$A4)</f>
        <v>0</v>
      </c>
      <c r="N40" s="83">
        <f>SUMIFS(MISSIONS!$B$3:$B$2094,MISSIONS!$I$3:$I$2094,N$1,MISSIONS!$A$3:$A$2094,Données!$A4)+
SUMIFS(MISSIONS!$D$3:$D$2094,MISSIONS!$I$3:$I$2094,N$1,MISSIONS!$C$3:$C$2094,Données!$A4)</f>
        <v>0</v>
      </c>
      <c r="O40" s="116"/>
    </row>
    <row r="41" spans="1:15" s="64" customFormat="1" x14ac:dyDescent="0.25">
      <c r="A41" s="81" t="str">
        <f>Données!$A5</f>
        <v>Dono</v>
      </c>
      <c r="B41" s="48">
        <f t="shared" si="43"/>
        <v>0</v>
      </c>
      <c r="C41" s="48">
        <f>SUMIFS(MISSIONS!$B$3:$B$2094,MISSIONS!$I$3:$I$2094,C$1,MISSIONS!$A$3:$A$2094,Données!$A5)+
SUMIFS(MISSIONS!$D$3:$D$2094,MISSIONS!$I$3:$I$2094,C$1,MISSIONS!$C$3:$C$2094,Données!$A5)</f>
        <v>0</v>
      </c>
      <c r="D41" s="48">
        <f>SUMIFS(MISSIONS!$B$3:$B$2094,MISSIONS!$I$3:$I$2094,D$1,MISSIONS!$A$3:$A$2094,Données!$A5)+
SUMIFS(MISSIONS!$D$3:$D$2094,MISSIONS!$I$3:$I$2094,D$1,MISSIONS!$C$3:$C$2094,Données!$A5)</f>
        <v>0</v>
      </c>
      <c r="E41" s="48">
        <f>SUMIFS(MISSIONS!$B$3:$B$2094,MISSIONS!$I$3:$I$2094,E$1,MISSIONS!$A$3:$A$2094,Données!$A5)+
SUMIFS(MISSIONS!$D$3:$D$2094,MISSIONS!$I$3:$I$2094,E$1,MISSIONS!$C$3:$C$2094,Données!$A5)</f>
        <v>0</v>
      </c>
      <c r="F41" s="48">
        <f>SUMIFS(MISSIONS!$B$3:$B$2094,MISSIONS!$I$3:$I$2094,F$1,MISSIONS!$A$3:$A$2094,Données!$A5)+
SUMIFS(MISSIONS!$D$3:$D$2094,MISSIONS!$I$3:$I$2094,F$1,MISSIONS!$C$3:$C$2094,Données!$A5)</f>
        <v>0</v>
      </c>
      <c r="G41" s="48">
        <f>SUMIFS(MISSIONS!$B$3:$B$2094,MISSIONS!$I$3:$I$2094,G$1,MISSIONS!$A$3:$A$2094,Données!$A5)+
SUMIFS(MISSIONS!$D$3:$D$2094,MISSIONS!$I$3:$I$2094,G$1,MISSIONS!$C$3:$C$2094,Données!$A5)</f>
        <v>0</v>
      </c>
      <c r="H41" s="48">
        <f>SUMIFS(MISSIONS!$B$3:$B$2094,MISSIONS!$I$3:$I$2094,H$1,MISSIONS!$A$3:$A$2094,Données!$A5)+
SUMIFS(MISSIONS!$D$3:$D$2094,MISSIONS!$I$3:$I$2094,H$1,MISSIONS!$C$3:$C$2094,Données!$A5)</f>
        <v>0</v>
      </c>
      <c r="I41" s="48">
        <f>SUMIFS(MISSIONS!$B$3:$B$2094,MISSIONS!$I$3:$I$2094,I$1,MISSIONS!$A$3:$A$2094,Données!$A5)+
SUMIFS(MISSIONS!$D$3:$D$2094,MISSIONS!$I$3:$I$2094,I$1,MISSIONS!$C$3:$C$2094,Données!$A5)</f>
        <v>0</v>
      </c>
      <c r="J41" s="48">
        <f>SUMIFS(MISSIONS!$B$3:$B$2094,MISSIONS!$I$3:$I$2094,J$1,MISSIONS!$A$3:$A$2094,Données!$A5)+
SUMIFS(MISSIONS!$D$3:$D$2094,MISSIONS!$I$3:$I$2094,J$1,MISSIONS!$C$3:$C$2094,Données!$A5)</f>
        <v>0</v>
      </c>
      <c r="K41" s="48">
        <f>SUMIFS(MISSIONS!$B$3:$B$2094,MISSIONS!$I$3:$I$2094,K$1,MISSIONS!$A$3:$A$2094,Données!$A5)+
SUMIFS(MISSIONS!$D$3:$D$2094,MISSIONS!$I$3:$I$2094,K$1,MISSIONS!$C$3:$C$2094,Données!$A5)</f>
        <v>0</v>
      </c>
      <c r="L41" s="48">
        <f>SUMIFS(MISSIONS!$B$3:$B$2094,MISSIONS!$I$3:$I$2094,L$1,MISSIONS!$A$3:$A$2094,Données!$A5)+
SUMIFS(MISSIONS!$D$3:$D$2094,MISSIONS!$I$3:$I$2094,L$1,MISSIONS!$C$3:$C$2094,Données!$A5)</f>
        <v>0</v>
      </c>
      <c r="M41" s="48">
        <f>SUMIFS(MISSIONS!$B$3:$B$2094,MISSIONS!$I$3:$I$2094,M$1,MISSIONS!$A$3:$A$2094,Données!$A5)+
SUMIFS(MISSIONS!$D$3:$D$2094,MISSIONS!$I$3:$I$2094,M$1,MISSIONS!$C$3:$C$2094,Données!$A5)</f>
        <v>0</v>
      </c>
      <c r="N41" s="48">
        <f>SUMIFS(MISSIONS!$B$3:$B$2094,MISSIONS!$I$3:$I$2094,N$1,MISSIONS!$A$3:$A$2094,Données!$A5)+
SUMIFS(MISSIONS!$D$3:$D$2094,MISSIONS!$I$3:$I$2094,N$1,MISSIONS!$C$3:$C$2094,Données!$A5)</f>
        <v>0</v>
      </c>
      <c r="O41" s="65"/>
    </row>
    <row r="42" spans="1:15" s="64" customFormat="1" x14ac:dyDescent="0.25">
      <c r="A42" s="81" t="str">
        <f>Données!$A6</f>
        <v>Colpa</v>
      </c>
      <c r="B42" s="48">
        <f t="shared" si="43"/>
        <v>656.27</v>
      </c>
      <c r="C42" s="48">
        <f>SUMIFS(MISSIONS!$B$3:$B$2094,MISSIONS!$I$3:$I$2094,C$1,MISSIONS!$A$3:$A$2094,Données!$A6)+
SUMIFS(MISSIONS!$D$3:$D$2094,MISSIONS!$I$3:$I$2094,C$1,MISSIONS!$C$3:$C$2094,Données!$A6)</f>
        <v>0</v>
      </c>
      <c r="D42" s="48">
        <f>SUMIFS(MISSIONS!$B$3:$B$2094,MISSIONS!$I$3:$I$2094,D$1,MISSIONS!$A$3:$A$2094,Données!$A6)+
SUMIFS(MISSIONS!$D$3:$D$2094,MISSIONS!$I$3:$I$2094,D$1,MISSIONS!$C$3:$C$2094,Données!$A6)</f>
        <v>0</v>
      </c>
      <c r="E42" s="48">
        <f>SUMIFS(MISSIONS!$B$3:$B$2094,MISSIONS!$I$3:$I$2094,E$1,MISSIONS!$A$3:$A$2094,Données!$A6)+
SUMIFS(MISSIONS!$D$3:$D$2094,MISSIONS!$I$3:$I$2094,E$1,MISSIONS!$C$3:$C$2094,Données!$A6)</f>
        <v>44.64</v>
      </c>
      <c r="F42" s="48">
        <f>SUMIFS(MISSIONS!$B$3:$B$2094,MISSIONS!$I$3:$I$2094,F$1,MISSIONS!$A$3:$A$2094,Données!$A6)+
SUMIFS(MISSIONS!$D$3:$D$2094,MISSIONS!$I$3:$I$2094,F$1,MISSIONS!$C$3:$C$2094,Données!$A6)</f>
        <v>44.64</v>
      </c>
      <c r="G42" s="48">
        <f>SUMIFS(MISSIONS!$B$3:$B$2094,MISSIONS!$I$3:$I$2094,G$1,MISSIONS!$A$3:$A$2094,Données!$A6)+
SUMIFS(MISSIONS!$D$3:$D$2094,MISSIONS!$I$3:$I$2094,G$1,MISSIONS!$C$3:$C$2094,Données!$A6)</f>
        <v>44.64</v>
      </c>
      <c r="H42" s="48">
        <f>SUMIFS(MISSIONS!$B$3:$B$2094,MISSIONS!$I$3:$I$2094,H$1,MISSIONS!$A$3:$A$2094,Données!$A6)+
SUMIFS(MISSIONS!$D$3:$D$2094,MISSIONS!$I$3:$I$2094,H$1,MISSIONS!$C$3:$C$2094,Données!$A6)</f>
        <v>50.22</v>
      </c>
      <c r="I42" s="48">
        <f>SUMIFS(MISSIONS!$B$3:$B$2094,MISSIONS!$I$3:$I$2094,I$1,MISSIONS!$A$3:$A$2094,Données!$A6)+
SUMIFS(MISSIONS!$D$3:$D$2094,MISSIONS!$I$3:$I$2094,I$1,MISSIONS!$C$3:$C$2094,Données!$A6)</f>
        <v>64.867499999999993</v>
      </c>
      <c r="J42" s="48">
        <f>SUMIFS(MISSIONS!$B$3:$B$2094,MISSIONS!$I$3:$I$2094,J$1,MISSIONS!$A$3:$A$2094,Données!$A6)+
SUMIFS(MISSIONS!$D$3:$D$2094,MISSIONS!$I$3:$I$2094,J$1,MISSIONS!$C$3:$C$2094,Données!$A6)</f>
        <v>129.73499999999999</v>
      </c>
      <c r="K42" s="48">
        <f>SUMIFS(MISSIONS!$B$3:$B$2094,MISSIONS!$I$3:$I$2094,K$1,MISSIONS!$A$3:$A$2094,Données!$A6)+
SUMIFS(MISSIONS!$D$3:$D$2094,MISSIONS!$I$3:$I$2094,K$1,MISSIONS!$C$3:$C$2094,Données!$A6)</f>
        <v>122.52750000000002</v>
      </c>
      <c r="L42" s="48">
        <f>SUMIFS(MISSIONS!$B$3:$B$2094,MISSIONS!$I$3:$I$2094,L$1,MISSIONS!$A$3:$A$2094,Données!$A6)+
SUMIFS(MISSIONS!$D$3:$D$2094,MISSIONS!$I$3:$I$2094,L$1,MISSIONS!$C$3:$C$2094,Données!$A6)</f>
        <v>155</v>
      </c>
      <c r="M42" s="48">
        <f>SUMIFS(MISSIONS!$B$3:$B$2094,MISSIONS!$I$3:$I$2094,M$1,MISSIONS!$A$3:$A$2094,Données!$A6)+
SUMIFS(MISSIONS!$D$3:$D$2094,MISSIONS!$I$3:$I$2094,M$1,MISSIONS!$C$3:$C$2094,Données!$A6)</f>
        <v>0</v>
      </c>
      <c r="N42" s="48">
        <f>SUMIFS(MISSIONS!$B$3:$B$2094,MISSIONS!$I$3:$I$2094,N$1,MISSIONS!$A$3:$A$2094,Données!$A6)+
SUMIFS(MISSIONS!$D$3:$D$2094,MISSIONS!$I$3:$I$2094,N$1,MISSIONS!$C$3:$C$2094,Données!$A6)</f>
        <v>0</v>
      </c>
      <c r="O42" s="65"/>
    </row>
    <row r="43" spans="1:15" s="64" customFormat="1" x14ac:dyDescent="0.25">
      <c r="A43" s="81" t="str">
        <f>Données!$A7</f>
        <v>Na Oya</v>
      </c>
      <c r="B43" s="48">
        <f t="shared" ref="B43:B47" si="44">SUM(C43:N43)</f>
        <v>638.64959999999996</v>
      </c>
      <c r="C43" s="48">
        <f>SUMIFS(MISSIONS!$B$3:$B$2094,MISSIONS!$I$3:$I$2094,C$1,MISSIONS!$A$3:$A$2094,Données!$A7)+
SUMIFS(MISSIONS!$D$3:$D$2094,MISSIONS!$I$3:$I$2094,C$1,MISSIONS!$C$3:$C$2094,Données!$A7)</f>
        <v>113.98079999999999</v>
      </c>
      <c r="D43" s="48">
        <f>SUMIFS(MISSIONS!$B$3:$B$2094,MISSIONS!$I$3:$I$2094,D$1,MISSIONS!$A$3:$A$2094,Données!$A7)+
SUMIFS(MISSIONS!$D$3:$D$2094,MISSIONS!$I$3:$I$2094,D$1,MISSIONS!$C$3:$C$2094,Données!$A7)</f>
        <v>113.98079999999999</v>
      </c>
      <c r="E43" s="48">
        <f>SUMIFS(MISSIONS!$B$3:$B$2094,MISSIONS!$I$3:$I$2094,E$1,MISSIONS!$A$3:$A$2094,Données!$A7)+
SUMIFS(MISSIONS!$D$3:$D$2094,MISSIONS!$I$3:$I$2094,E$1,MISSIONS!$C$3:$C$2094,Données!$A7)</f>
        <v>114.09984</v>
      </c>
      <c r="F43" s="48">
        <f>SUMIFS(MISSIONS!$B$3:$B$2094,MISSIONS!$I$3:$I$2094,F$1,MISSIONS!$A$3:$A$2094,Données!$A7)+
SUMIFS(MISSIONS!$D$3:$D$2094,MISSIONS!$I$3:$I$2094,F$1,MISSIONS!$C$3:$C$2094,Données!$A7)</f>
        <v>114.09984</v>
      </c>
      <c r="G43" s="48">
        <f>SUMIFS(MISSIONS!$B$3:$B$2094,MISSIONS!$I$3:$I$2094,G$1,MISSIONS!$A$3:$A$2094,Données!$A7)+
SUMIFS(MISSIONS!$D$3:$D$2094,MISSIONS!$I$3:$I$2094,G$1,MISSIONS!$C$3:$C$2094,Données!$A7)</f>
        <v>114.21888</v>
      </c>
      <c r="H43" s="48">
        <f>SUMIFS(MISSIONS!$B$3:$B$2094,MISSIONS!$I$3:$I$2094,H$1,MISSIONS!$A$3:$A$2094,Données!$A7)+
SUMIFS(MISSIONS!$D$3:$D$2094,MISSIONS!$I$3:$I$2094,H$1,MISSIONS!$C$3:$C$2094,Données!$A7)</f>
        <v>68.269440000000003</v>
      </c>
      <c r="I43" s="48">
        <f>SUMIFS(MISSIONS!$B$3:$B$2094,MISSIONS!$I$3:$I$2094,I$1,MISSIONS!$A$3:$A$2094,Données!$A7)+
SUMIFS(MISSIONS!$D$3:$D$2094,MISSIONS!$I$3:$I$2094,I$1,MISSIONS!$C$3:$C$2094,Données!$A7)</f>
        <v>0</v>
      </c>
      <c r="J43" s="48">
        <f>SUMIFS(MISSIONS!$B$3:$B$2094,MISSIONS!$I$3:$I$2094,J$1,MISSIONS!$A$3:$A$2094,Données!$A7)+
SUMIFS(MISSIONS!$D$3:$D$2094,MISSIONS!$I$3:$I$2094,J$1,MISSIONS!$C$3:$C$2094,Données!$A7)</f>
        <v>0</v>
      </c>
      <c r="K43" s="48">
        <f>SUMIFS(MISSIONS!$B$3:$B$2094,MISSIONS!$I$3:$I$2094,K$1,MISSIONS!$A$3:$A$2094,Données!$A7)+
SUMIFS(MISSIONS!$D$3:$D$2094,MISSIONS!$I$3:$I$2094,K$1,MISSIONS!$C$3:$C$2094,Données!$A7)</f>
        <v>0</v>
      </c>
      <c r="L43" s="48">
        <f>SUMIFS(MISSIONS!$B$3:$B$2094,MISSIONS!$I$3:$I$2094,L$1,MISSIONS!$A$3:$A$2094,Données!$A7)+
SUMIFS(MISSIONS!$D$3:$D$2094,MISSIONS!$I$3:$I$2094,L$1,MISSIONS!$C$3:$C$2094,Données!$A7)</f>
        <v>0</v>
      </c>
      <c r="M43" s="48">
        <f>SUMIFS(MISSIONS!$B$3:$B$2094,MISSIONS!$I$3:$I$2094,M$1,MISSIONS!$A$3:$A$2094,Données!$A7)+
SUMIFS(MISSIONS!$D$3:$D$2094,MISSIONS!$I$3:$I$2094,M$1,MISSIONS!$C$3:$C$2094,Données!$A7)</f>
        <v>0</v>
      </c>
      <c r="N43" s="48">
        <f>SUMIFS(MISSIONS!$B$3:$B$2094,MISSIONS!$I$3:$I$2094,N$1,MISSIONS!$A$3:$A$2094,Données!$A7)+
SUMIFS(MISSIONS!$D$3:$D$2094,MISSIONS!$I$3:$I$2094,N$1,MISSIONS!$C$3:$C$2094,Données!$A7)</f>
        <v>0</v>
      </c>
      <c r="O43" s="65"/>
    </row>
    <row r="44" spans="1:15" s="82" customFormat="1" x14ac:dyDescent="0.25">
      <c r="A44" s="117" t="str">
        <f>Données!$A8</f>
        <v>B&amp;A</v>
      </c>
      <c r="B44" s="48">
        <f t="shared" si="44"/>
        <v>0</v>
      </c>
      <c r="C44" s="48">
        <f>SUMIFS(MISSIONS!$B$3:$B$2094,MISSIONS!$I$3:$I$2094,C$1,MISSIONS!$A$3:$A$2094,Données!$A8)+
SUMIFS(MISSIONS!$D$3:$D$2094,MISSIONS!$I$3:$I$2094,C$1,MISSIONS!$C$3:$C$2094,Données!$A8)</f>
        <v>0</v>
      </c>
      <c r="D44" s="48">
        <f>SUMIFS(MISSIONS!$B$3:$B$2094,MISSIONS!$I$3:$I$2094,D$1,MISSIONS!$A$3:$A$2094,Données!$A8)+
SUMIFS(MISSIONS!$D$3:$D$2094,MISSIONS!$I$3:$I$2094,D$1,MISSIONS!$C$3:$C$2094,Données!$A8)</f>
        <v>0</v>
      </c>
      <c r="E44" s="48">
        <f>SUMIFS(MISSIONS!$B$3:$B$2094,MISSIONS!$I$3:$I$2094,E$1,MISSIONS!$A$3:$A$2094,Données!$A8)+
SUMIFS(MISSIONS!$D$3:$D$2094,MISSIONS!$I$3:$I$2094,E$1,MISSIONS!$C$3:$C$2094,Données!$A8)</f>
        <v>0</v>
      </c>
      <c r="F44" s="48">
        <f>SUMIFS(MISSIONS!$B$3:$B$2094,MISSIONS!$I$3:$I$2094,F$1,MISSIONS!$A$3:$A$2094,Données!$A8)+
SUMIFS(MISSIONS!$D$3:$D$2094,MISSIONS!$I$3:$I$2094,F$1,MISSIONS!$C$3:$C$2094,Données!$A8)</f>
        <v>0</v>
      </c>
      <c r="G44" s="48">
        <f>SUMIFS(MISSIONS!$B$3:$B$2094,MISSIONS!$I$3:$I$2094,G$1,MISSIONS!$A$3:$A$2094,Données!$A8)+
SUMIFS(MISSIONS!$D$3:$D$2094,MISSIONS!$I$3:$I$2094,G$1,MISSIONS!$C$3:$C$2094,Données!$A8)</f>
        <v>0</v>
      </c>
      <c r="H44" s="48">
        <f>SUMIFS(MISSIONS!$B$3:$B$2094,MISSIONS!$I$3:$I$2094,H$1,MISSIONS!$A$3:$A$2094,Données!$A8)+
SUMIFS(MISSIONS!$D$3:$D$2094,MISSIONS!$I$3:$I$2094,H$1,MISSIONS!$C$3:$C$2094,Données!$A8)</f>
        <v>0</v>
      </c>
      <c r="I44" s="48">
        <f>SUMIFS(MISSIONS!$B$3:$B$2094,MISSIONS!$I$3:$I$2094,I$1,MISSIONS!$A$3:$A$2094,Données!$A8)+
SUMIFS(MISSIONS!$D$3:$D$2094,MISSIONS!$I$3:$I$2094,I$1,MISSIONS!$C$3:$C$2094,Données!$A8)</f>
        <v>0</v>
      </c>
      <c r="J44" s="48">
        <f>SUMIFS(MISSIONS!$B$3:$B$2094,MISSIONS!$I$3:$I$2094,J$1,MISSIONS!$A$3:$A$2094,Données!$A8)+
SUMIFS(MISSIONS!$D$3:$D$2094,MISSIONS!$I$3:$I$2094,J$1,MISSIONS!$C$3:$C$2094,Données!$A8)</f>
        <v>0</v>
      </c>
      <c r="K44" s="48">
        <f>SUMIFS(MISSIONS!$B$3:$B$2094,MISSIONS!$I$3:$I$2094,K$1,MISSIONS!$A$3:$A$2094,Données!$A8)+
SUMIFS(MISSIONS!$D$3:$D$2094,MISSIONS!$I$3:$I$2094,K$1,MISSIONS!$C$3:$C$2094,Données!$A8)</f>
        <v>0</v>
      </c>
      <c r="L44" s="48">
        <f>SUMIFS(MISSIONS!$B$3:$B$2094,MISSIONS!$I$3:$I$2094,L$1,MISSIONS!$A$3:$A$2094,Données!$A8)+
SUMIFS(MISSIONS!$D$3:$D$2094,MISSIONS!$I$3:$I$2094,L$1,MISSIONS!$C$3:$C$2094,Données!$A8)</f>
        <v>0</v>
      </c>
      <c r="M44" s="48">
        <f>SUMIFS(MISSIONS!$B$3:$B$2094,MISSIONS!$I$3:$I$2094,M$1,MISSIONS!$A$3:$A$2094,Données!$A8)+
SUMIFS(MISSIONS!$D$3:$D$2094,MISSIONS!$I$3:$I$2094,M$1,MISSIONS!$C$3:$C$2094,Données!$A8)</f>
        <v>0</v>
      </c>
      <c r="N44" s="48">
        <f>SUMIFS(MISSIONS!$B$3:$B$2094,MISSIONS!$I$3:$I$2094,N$1,MISSIONS!$A$3:$A$2094,Données!$A8)+
SUMIFS(MISSIONS!$D$3:$D$2094,MISSIONS!$I$3:$I$2094,N$1,MISSIONS!$C$3:$C$2094,Données!$A8)</f>
        <v>0</v>
      </c>
      <c r="O44" s="65"/>
    </row>
    <row r="45" spans="1:15" s="64" customFormat="1" x14ac:dyDescent="0.25">
      <c r="A45" s="81" t="str">
        <f>Données!$A9</f>
        <v>Vero</v>
      </c>
      <c r="B45" s="48">
        <f t="shared" si="44"/>
        <v>213.0342</v>
      </c>
      <c r="C45" s="48">
        <f>SUMIFS(MISSIONS!$B$3:$B$2094,MISSIONS!$I$3:$I$2094,C$1,MISSIONS!$A$3:$A$2094,Données!$A9)+
SUMIFS(MISSIONS!$D$3:$D$2094,MISSIONS!$I$3:$I$2094,C$1,MISSIONS!$C$3:$C$2094,Données!$A9)</f>
        <v>10.59456</v>
      </c>
      <c r="D45" s="48">
        <f>SUMIFS(MISSIONS!$B$3:$B$2094,MISSIONS!$I$3:$I$2094,D$1,MISSIONS!$A$3:$A$2094,Données!$A9)+
SUMIFS(MISSIONS!$D$3:$D$2094,MISSIONS!$I$3:$I$2094,D$1,MISSIONS!$C$3:$C$2094,Données!$A9)</f>
        <v>10.59456</v>
      </c>
      <c r="E45" s="48">
        <f>SUMIFS(MISSIONS!$B$3:$B$2094,MISSIONS!$I$3:$I$2094,E$1,MISSIONS!$A$3:$A$2094,Données!$A9)+
SUMIFS(MISSIONS!$D$3:$D$2094,MISSIONS!$I$3:$I$2094,E$1,MISSIONS!$C$3:$C$2094,Données!$A9)</f>
        <v>10.59456</v>
      </c>
      <c r="F45" s="48">
        <f>SUMIFS(MISSIONS!$B$3:$B$2094,MISSIONS!$I$3:$I$2094,F$1,MISSIONS!$A$3:$A$2094,Données!$A9)+
SUMIFS(MISSIONS!$D$3:$D$2094,MISSIONS!$I$3:$I$2094,F$1,MISSIONS!$C$3:$C$2094,Données!$A9)</f>
        <v>10.59456</v>
      </c>
      <c r="G45" s="48">
        <f>SUMIFS(MISSIONS!$B$3:$B$2094,MISSIONS!$I$3:$I$2094,G$1,MISSIONS!$A$3:$A$2094,Données!$A9)+
SUMIFS(MISSIONS!$D$3:$D$2094,MISSIONS!$I$3:$I$2094,G$1,MISSIONS!$C$3:$C$2094,Données!$A9)</f>
        <v>10.59456</v>
      </c>
      <c r="H45" s="48">
        <f>SUMIFS(MISSIONS!$B$3:$B$2094,MISSIONS!$I$3:$I$2094,H$1,MISSIONS!$A$3:$A$2094,Données!$A9)+
SUMIFS(MISSIONS!$D$3:$D$2094,MISSIONS!$I$3:$I$2094,H$1,MISSIONS!$C$3:$C$2094,Données!$A9)</f>
        <v>10.7136</v>
      </c>
      <c r="I45" s="48">
        <f>SUMIFS(MISSIONS!$B$3:$B$2094,MISSIONS!$I$3:$I$2094,I$1,MISSIONS!$A$3:$A$2094,Données!$A9)+
SUMIFS(MISSIONS!$D$3:$D$2094,MISSIONS!$I$3:$I$2094,I$1,MISSIONS!$C$3:$C$2094,Données!$A9)</f>
        <v>12.0528</v>
      </c>
      <c r="J45" s="48">
        <f>SUMIFS(MISSIONS!$B$3:$B$2094,MISSIONS!$I$3:$I$2094,J$1,MISSIONS!$A$3:$A$2094,Données!$A9)+
SUMIFS(MISSIONS!$D$3:$D$2094,MISSIONS!$I$3:$I$2094,J$1,MISSIONS!$C$3:$C$2094,Données!$A9)</f>
        <v>15.066000000000001</v>
      </c>
      <c r="K45" s="48">
        <f>SUMIFS(MISSIONS!$B$3:$B$2094,MISSIONS!$I$3:$I$2094,K$1,MISSIONS!$A$3:$A$2094,Données!$A9)+
SUMIFS(MISSIONS!$D$3:$D$2094,MISSIONS!$I$3:$I$2094,K$1,MISSIONS!$C$3:$C$2094,Données!$A9)</f>
        <v>14.228999999999999</v>
      </c>
      <c r="L45" s="48">
        <f>SUMIFS(MISSIONS!$B$3:$B$2094,MISSIONS!$I$3:$I$2094,L$1,MISSIONS!$A$3:$A$2094,Données!$A9)+
SUMIFS(MISSIONS!$D$3:$D$2094,MISSIONS!$I$3:$I$2094,L$1,MISSIONS!$C$3:$C$2094,Données!$A9)</f>
        <v>36</v>
      </c>
      <c r="M45" s="48">
        <f>SUMIFS(MISSIONS!$B$3:$B$2094,MISSIONS!$I$3:$I$2094,M$1,MISSIONS!$A$3:$A$2094,Données!$A9)+
SUMIFS(MISSIONS!$D$3:$D$2094,MISSIONS!$I$3:$I$2094,M$1,MISSIONS!$C$3:$C$2094,Données!$A9)</f>
        <v>36</v>
      </c>
      <c r="N45" s="48">
        <f>SUMIFS(MISSIONS!$B$3:$B$2094,MISSIONS!$I$3:$I$2094,N$1,MISSIONS!$A$3:$A$2094,Données!$A9)+
SUMIFS(MISSIONS!$D$3:$D$2094,MISSIONS!$I$3:$I$2094,N$1,MISSIONS!$C$3:$C$2094,Données!$A9)</f>
        <v>36</v>
      </c>
      <c r="O45" s="65"/>
    </row>
    <row r="46" spans="1:15" s="64" customFormat="1" x14ac:dyDescent="0.25">
      <c r="A46" s="81" t="str">
        <f>Données!$A10</f>
        <v>Sns</v>
      </c>
      <c r="B46" s="48">
        <f t="shared" si="44"/>
        <v>0</v>
      </c>
      <c r="C46" s="48">
        <f>SUMIFS(MISSIONS!$B$3:$B$2094,MISSIONS!$I$3:$I$2094,C$1,MISSIONS!$A$3:$A$2094,Données!$A10)+
SUMIFS(MISSIONS!$D$3:$D$2094,MISSIONS!$I$3:$I$2094,C$1,MISSIONS!$C$3:$C$2094,Données!$A10)</f>
        <v>0</v>
      </c>
      <c r="D46" s="48">
        <f>SUMIFS(MISSIONS!$B$3:$B$2094,MISSIONS!$I$3:$I$2094,D$1,MISSIONS!$A$3:$A$2094,Données!$A10)+
SUMIFS(MISSIONS!$D$3:$D$2094,MISSIONS!$I$3:$I$2094,D$1,MISSIONS!$C$3:$C$2094,Données!$A10)</f>
        <v>0</v>
      </c>
      <c r="E46" s="48">
        <f>SUMIFS(MISSIONS!$B$3:$B$2094,MISSIONS!$I$3:$I$2094,E$1,MISSIONS!$A$3:$A$2094,Données!$A10)+
SUMIFS(MISSIONS!$D$3:$D$2094,MISSIONS!$I$3:$I$2094,E$1,MISSIONS!$C$3:$C$2094,Données!$A10)</f>
        <v>0</v>
      </c>
      <c r="F46" s="48">
        <f>SUMIFS(MISSIONS!$B$3:$B$2094,MISSIONS!$I$3:$I$2094,F$1,MISSIONS!$A$3:$A$2094,Données!$A10)+
SUMIFS(MISSIONS!$D$3:$D$2094,MISSIONS!$I$3:$I$2094,F$1,MISSIONS!$C$3:$C$2094,Données!$A10)</f>
        <v>0</v>
      </c>
      <c r="G46" s="48">
        <f>SUMIFS(MISSIONS!$B$3:$B$2094,MISSIONS!$I$3:$I$2094,G$1,MISSIONS!$A$3:$A$2094,Données!$A10)+
SUMIFS(MISSIONS!$D$3:$D$2094,MISSIONS!$I$3:$I$2094,G$1,MISSIONS!$C$3:$C$2094,Données!$A10)</f>
        <v>0</v>
      </c>
      <c r="H46" s="48">
        <f>SUMIFS(MISSIONS!$B$3:$B$2094,MISSIONS!$I$3:$I$2094,H$1,MISSIONS!$A$3:$A$2094,Données!$A10)+
SUMIFS(MISSIONS!$D$3:$D$2094,MISSIONS!$I$3:$I$2094,H$1,MISSIONS!$C$3:$C$2094,Données!$A10)</f>
        <v>0</v>
      </c>
      <c r="I46" s="48">
        <f>SUMIFS(MISSIONS!$B$3:$B$2094,MISSIONS!$I$3:$I$2094,I$1,MISSIONS!$A$3:$A$2094,Données!$A10)+
SUMIFS(MISSIONS!$D$3:$D$2094,MISSIONS!$I$3:$I$2094,I$1,MISSIONS!$C$3:$C$2094,Données!$A10)</f>
        <v>0</v>
      </c>
      <c r="J46" s="48">
        <f>SUMIFS(MISSIONS!$B$3:$B$2094,MISSIONS!$I$3:$I$2094,J$1,MISSIONS!$A$3:$A$2094,Données!$A10)+
SUMIFS(MISSIONS!$D$3:$D$2094,MISSIONS!$I$3:$I$2094,J$1,MISSIONS!$C$3:$C$2094,Données!$A10)</f>
        <v>0</v>
      </c>
      <c r="K46" s="48">
        <f>SUMIFS(MISSIONS!$B$3:$B$2094,MISSIONS!$I$3:$I$2094,K$1,MISSIONS!$A$3:$A$2094,Données!$A10)+
SUMIFS(MISSIONS!$D$3:$D$2094,MISSIONS!$I$3:$I$2094,K$1,MISSIONS!$C$3:$C$2094,Données!$A10)</f>
        <v>0</v>
      </c>
      <c r="L46" s="48">
        <f>SUMIFS(MISSIONS!$B$3:$B$2094,MISSIONS!$I$3:$I$2094,L$1,MISSIONS!$A$3:$A$2094,Données!$A10)+
SUMIFS(MISSIONS!$D$3:$D$2094,MISSIONS!$I$3:$I$2094,L$1,MISSIONS!$C$3:$C$2094,Données!$A10)</f>
        <v>0</v>
      </c>
      <c r="M46" s="48">
        <f>SUMIFS(MISSIONS!$B$3:$B$2094,MISSIONS!$I$3:$I$2094,M$1,MISSIONS!$A$3:$A$2094,Données!$A10)+
SUMIFS(MISSIONS!$D$3:$D$2094,MISSIONS!$I$3:$I$2094,M$1,MISSIONS!$C$3:$C$2094,Données!$A10)</f>
        <v>0</v>
      </c>
      <c r="N46" s="48">
        <f>SUMIFS(MISSIONS!$B$3:$B$2094,MISSIONS!$I$3:$I$2094,N$1,MISSIONS!$A$3:$A$2094,Données!$A10)+
SUMIFS(MISSIONS!$D$3:$D$2094,MISSIONS!$I$3:$I$2094,N$1,MISSIONS!$C$3:$C$2094,Données!$A10)</f>
        <v>0</v>
      </c>
      <c r="O46" s="65"/>
    </row>
    <row r="47" spans="1:15" s="64" customFormat="1" x14ac:dyDescent="0.25">
      <c r="A47" s="81" t="str">
        <f>Données!$A11</f>
        <v>Acte</v>
      </c>
      <c r="B47" s="48">
        <f t="shared" si="44"/>
        <v>0</v>
      </c>
      <c r="C47" s="48">
        <f>SUMIFS(MISSIONS!$B$3:$B$2094,MISSIONS!$I$3:$I$2094,C$1,MISSIONS!$A$3:$A$2094,Données!$A11)+
SUMIFS(MISSIONS!$D$3:$D$2094,MISSIONS!$I$3:$I$2094,C$1,MISSIONS!$C$3:$C$2094,Données!$A11)</f>
        <v>0</v>
      </c>
      <c r="D47" s="48">
        <f>SUMIFS(MISSIONS!$B$3:$B$2094,MISSIONS!$I$3:$I$2094,D$1,MISSIONS!$A$3:$A$2094,Données!$A11)+
SUMIFS(MISSIONS!$D$3:$D$2094,MISSIONS!$I$3:$I$2094,D$1,MISSIONS!$C$3:$C$2094,Données!$A11)</f>
        <v>0</v>
      </c>
      <c r="E47" s="48">
        <f>SUMIFS(MISSIONS!$B$3:$B$2094,MISSIONS!$I$3:$I$2094,E$1,MISSIONS!$A$3:$A$2094,Données!$A11)+
SUMIFS(MISSIONS!$D$3:$D$2094,MISSIONS!$I$3:$I$2094,E$1,MISSIONS!$C$3:$C$2094,Données!$A11)</f>
        <v>0</v>
      </c>
      <c r="F47" s="48">
        <f>SUMIFS(MISSIONS!$B$3:$B$2094,MISSIONS!$I$3:$I$2094,F$1,MISSIONS!$A$3:$A$2094,Données!$A11)+
SUMIFS(MISSIONS!$D$3:$D$2094,MISSIONS!$I$3:$I$2094,F$1,MISSIONS!$C$3:$C$2094,Données!$A11)</f>
        <v>0</v>
      </c>
      <c r="G47" s="48">
        <f>SUMIFS(MISSIONS!$B$3:$B$2094,MISSIONS!$I$3:$I$2094,G$1,MISSIONS!$A$3:$A$2094,Données!$A11)+
SUMIFS(MISSIONS!$D$3:$D$2094,MISSIONS!$I$3:$I$2094,G$1,MISSIONS!$C$3:$C$2094,Données!$A11)</f>
        <v>0</v>
      </c>
      <c r="H47" s="48">
        <f>SUMIFS(MISSIONS!$B$3:$B$2094,MISSIONS!$I$3:$I$2094,H$1,MISSIONS!$A$3:$A$2094,Données!$A11)+
SUMIFS(MISSIONS!$D$3:$D$2094,MISSIONS!$I$3:$I$2094,H$1,MISSIONS!$C$3:$C$2094,Données!$A11)</f>
        <v>0</v>
      </c>
      <c r="I47" s="48">
        <f>SUMIFS(MISSIONS!$B$3:$B$2094,MISSIONS!$I$3:$I$2094,I$1,MISSIONS!$A$3:$A$2094,Données!$A11)+
SUMIFS(MISSIONS!$D$3:$D$2094,MISSIONS!$I$3:$I$2094,I$1,MISSIONS!$C$3:$C$2094,Données!$A11)</f>
        <v>0</v>
      </c>
      <c r="J47" s="48">
        <f>SUMIFS(MISSIONS!$B$3:$B$2094,MISSIONS!$I$3:$I$2094,J$1,MISSIONS!$A$3:$A$2094,Données!$A11)+
SUMIFS(MISSIONS!$D$3:$D$2094,MISSIONS!$I$3:$I$2094,J$1,MISSIONS!$C$3:$C$2094,Données!$A11)</f>
        <v>0</v>
      </c>
      <c r="K47" s="48">
        <f>SUMIFS(MISSIONS!$B$3:$B$2094,MISSIONS!$I$3:$I$2094,K$1,MISSIONS!$A$3:$A$2094,Données!$A11)+
SUMIFS(MISSIONS!$D$3:$D$2094,MISSIONS!$I$3:$I$2094,K$1,MISSIONS!$C$3:$C$2094,Données!$A11)</f>
        <v>0</v>
      </c>
      <c r="L47" s="52">
        <f>SUMIFS(MISSIONS!$B$3:$B$2094,MISSIONS!$I$3:$I$2094,L$1,MISSIONS!$A$3:$A$2094,Données!$A11)+
SUMIFS(MISSIONS!$D$3:$D$2094,MISSIONS!$I$3:$I$2094,L$1,MISSIONS!$C$3:$C$2094,Données!$A11)</f>
        <v>0</v>
      </c>
      <c r="M47" s="48">
        <f>SUMIFS(MISSIONS!$B$3:$B$2094,MISSIONS!$I$3:$I$2094,M$1,MISSIONS!$A$3:$A$2094,Données!$A11)+
SUMIFS(MISSIONS!$D$3:$D$2094,MISSIONS!$I$3:$I$2094,M$1,MISSIONS!$C$3:$C$2094,Données!$A11)</f>
        <v>0</v>
      </c>
      <c r="N47" s="48">
        <f>SUMIFS(MISSIONS!$B$3:$B$2094,MISSIONS!$I$3:$I$2094,N$1,MISSIONS!$A$3:$A$2094,Données!$A11)+
SUMIFS(MISSIONS!$D$3:$D$2094,MISSIONS!$I$3:$I$2094,N$1,MISSIONS!$C$3:$C$2094,Données!$A11)</f>
        <v>0</v>
      </c>
      <c r="O47" s="65"/>
    </row>
    <row r="48" spans="1:15" s="64" customFormat="1" x14ac:dyDescent="0.25">
      <c r="A48" s="81" t="str">
        <f>Données!$A12</f>
        <v>Damien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52"/>
      <c r="M48" s="52"/>
      <c r="N48" s="52"/>
      <c r="O48" s="65"/>
    </row>
    <row r="49" spans="1:15" s="64" customFormat="1" x14ac:dyDescent="0.25">
      <c r="A49" s="81">
        <f>Données!$A13</f>
        <v>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65"/>
    </row>
    <row r="50" spans="1:15" s="64" customFormat="1" x14ac:dyDescent="0.25">
      <c r="A50" s="81">
        <f>Données!$A14</f>
        <v>0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65"/>
    </row>
    <row r="51" spans="1:15" s="64" customFormat="1" x14ac:dyDescent="0.25">
      <c r="A51" s="81">
        <f>Données!$A15</f>
        <v>0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65"/>
    </row>
    <row r="52" spans="1:15" s="64" customFormat="1" x14ac:dyDescent="0.25">
      <c r="A52" s="81">
        <f>Données!$A16</f>
        <v>0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65"/>
    </row>
    <row r="53" spans="1:15" s="64" customFormat="1" x14ac:dyDescent="0.25">
      <c r="A53" s="81">
        <f>Données!$A17</f>
        <v>0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65"/>
    </row>
    <row r="54" spans="1:15" s="64" customFormat="1" x14ac:dyDescent="0.25">
      <c r="A54" s="81">
        <f>Données!$A82</f>
        <v>0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65"/>
    </row>
    <row r="55" spans="1:15" s="64" customFormat="1" x14ac:dyDescent="0.25">
      <c r="A55" s="81">
        <f>Données!$A83</f>
        <v>0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65"/>
    </row>
    <row r="56" spans="1:15" s="64" customFormat="1" x14ac:dyDescent="0.25">
      <c r="A56" s="81">
        <f>Données!$A84</f>
        <v>0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65"/>
    </row>
    <row r="57" spans="1:15" s="64" customFormat="1" x14ac:dyDescent="0.25">
      <c r="A57" s="81">
        <f>Données!$A85</f>
        <v>0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65"/>
    </row>
    <row r="58" spans="1:15" s="64" customFormat="1" x14ac:dyDescent="0.25">
      <c r="A58" s="81">
        <f>Données!$A86</f>
        <v>0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65"/>
    </row>
    <row r="59" spans="1:15" s="64" customFormat="1" x14ac:dyDescent="0.25">
      <c r="A59" s="81">
        <f>Données!$A87</f>
        <v>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65"/>
    </row>
    <row r="60" spans="1:15" s="64" customFormat="1" x14ac:dyDescent="0.25">
      <c r="A60" s="81">
        <f>Données!$A88</f>
        <v>0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65"/>
    </row>
    <row r="61" spans="1:15" s="64" customFormat="1" x14ac:dyDescent="0.25">
      <c r="A61" s="81">
        <f>Données!$A89</f>
        <v>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65"/>
    </row>
    <row r="62" spans="1:15" s="64" customFormat="1" x14ac:dyDescent="0.25">
      <c r="A62" s="81">
        <f>Données!$A90</f>
        <v>0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65"/>
    </row>
    <row r="63" spans="1:15" s="64" customFormat="1" x14ac:dyDescent="0.25">
      <c r="A63" s="81">
        <f>Données!$A91</f>
        <v>0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65"/>
    </row>
    <row r="64" spans="1:15" s="64" customFormat="1" x14ac:dyDescent="0.25">
      <c r="A64" s="81">
        <f>Données!$A92</f>
        <v>0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65"/>
    </row>
    <row r="65" spans="1:15" s="64" customFormat="1" x14ac:dyDescent="0.25">
      <c r="A65" s="81">
        <f>Données!$A93</f>
        <v>0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65"/>
    </row>
    <row r="66" spans="1:15" s="64" customFormat="1" x14ac:dyDescent="0.25">
      <c r="A66" s="81">
        <f>Données!$A94</f>
        <v>0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65"/>
    </row>
    <row r="67" spans="1:15" s="64" customFormat="1" x14ac:dyDescent="0.25">
      <c r="A67" s="81">
        <f>Données!$A95</f>
        <v>0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65"/>
    </row>
    <row r="68" spans="1:15" s="64" customFormat="1" x14ac:dyDescent="0.25">
      <c r="A68" s="81">
        <f>Données!$A96</f>
        <v>0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65"/>
    </row>
    <row r="69" spans="1:15" s="64" customFormat="1" x14ac:dyDescent="0.25">
      <c r="A69" s="81">
        <f>Données!$A97</f>
        <v>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65"/>
    </row>
    <row r="70" spans="1:15" s="64" customFormat="1" x14ac:dyDescent="0.25">
      <c r="A70" s="81">
        <f>Données!$A98</f>
        <v>0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65"/>
    </row>
    <row r="71" spans="1:15" s="64" customFormat="1" x14ac:dyDescent="0.25">
      <c r="A71" s="81">
        <f>Données!$A99</f>
        <v>0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65"/>
    </row>
    <row r="72" spans="1:15" s="64" customFormat="1" x14ac:dyDescent="0.25">
      <c r="A72" s="81">
        <f>Données!$A100</f>
        <v>0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65"/>
    </row>
    <row r="73" spans="1:15" s="64" customFormat="1" x14ac:dyDescent="0.25">
      <c r="A73" s="81">
        <f>Données!$A101</f>
        <v>0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65"/>
    </row>
    <row r="74" spans="1:15" s="64" customFormat="1" x14ac:dyDescent="0.25">
      <c r="A74" s="81">
        <f>Données!$A102</f>
        <v>0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65"/>
    </row>
    <row r="75" spans="1:15" s="64" customFormat="1" x14ac:dyDescent="0.25">
      <c r="A75" s="81">
        <f>Données!$A103</f>
        <v>0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65"/>
    </row>
    <row r="76" spans="1:15" s="64" customFormat="1" x14ac:dyDescent="0.25">
      <c r="A76" s="81">
        <f>Données!$A104</f>
        <v>0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65"/>
    </row>
    <row r="77" spans="1:15" s="64" customFormat="1" x14ac:dyDescent="0.25">
      <c r="A77" s="81">
        <f>Données!$A105</f>
        <v>0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65"/>
    </row>
    <row r="78" spans="1:15" s="64" customFormat="1" x14ac:dyDescent="0.25">
      <c r="A78" s="81">
        <f>Données!$A106</f>
        <v>0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65"/>
    </row>
    <row r="79" spans="1:15" s="64" customFormat="1" x14ac:dyDescent="0.25">
      <c r="A79" s="81">
        <f>Données!$A107</f>
        <v>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65"/>
    </row>
    <row r="80" spans="1:15" s="64" customFormat="1" x14ac:dyDescent="0.25">
      <c r="A80" s="81">
        <f>Données!$A108</f>
        <v>0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65"/>
    </row>
    <row r="81" spans="1:15" s="64" customFormat="1" x14ac:dyDescent="0.25">
      <c r="A81" s="81">
        <f>Données!$A109</f>
        <v>0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65"/>
    </row>
    <row r="82" spans="1:15" s="64" customFormat="1" x14ac:dyDescent="0.25">
      <c r="A82" s="81">
        <f>Données!$A110</f>
        <v>0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65"/>
    </row>
    <row r="83" spans="1:15" s="64" customFormat="1" x14ac:dyDescent="0.25">
      <c r="A83" s="81">
        <f>Données!$A111</f>
        <v>0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65"/>
    </row>
    <row r="84" spans="1:15" s="64" customFormat="1" x14ac:dyDescent="0.25">
      <c r="A84" s="81">
        <f>Données!$A112</f>
        <v>0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65"/>
    </row>
    <row r="85" spans="1:15" s="64" customFormat="1" x14ac:dyDescent="0.25">
      <c r="A85" s="81">
        <f>Données!$A113</f>
        <v>0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65"/>
    </row>
    <row r="86" spans="1:15" s="64" customFormat="1" x14ac:dyDescent="0.25">
      <c r="A86" s="81">
        <f>Données!$A114</f>
        <v>0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65"/>
    </row>
    <row r="87" spans="1:15" s="64" customFormat="1" x14ac:dyDescent="0.25">
      <c r="A87" s="81">
        <f>Données!$A115</f>
        <v>0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65"/>
    </row>
    <row r="88" spans="1:15" s="64" customFormat="1" x14ac:dyDescent="0.25">
      <c r="A88" s="81">
        <f>Données!$A116</f>
        <v>0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65"/>
    </row>
    <row r="89" spans="1:15" s="64" customFormat="1" x14ac:dyDescent="0.25">
      <c r="A89" s="81">
        <f>Données!$A117</f>
        <v>0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65"/>
    </row>
    <row r="90" spans="1:15" s="64" customFormat="1" x14ac:dyDescent="0.25">
      <c r="A90" s="81">
        <f>Données!$A118</f>
        <v>0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65"/>
    </row>
    <row r="91" spans="1:15" s="64" customFormat="1" x14ac:dyDescent="0.25">
      <c r="A91" s="81">
        <f>Données!$A119</f>
        <v>0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65"/>
    </row>
    <row r="92" spans="1:15" s="64" customFormat="1" x14ac:dyDescent="0.25">
      <c r="A92" s="81">
        <f>Données!$A120</f>
        <v>0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65"/>
    </row>
    <row r="93" spans="1:15" s="64" customFormat="1" x14ac:dyDescent="0.25">
      <c r="A93" s="81">
        <f>Données!$A121</f>
        <v>0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65"/>
    </row>
    <row r="94" spans="1:15" s="64" customFormat="1" x14ac:dyDescent="0.25">
      <c r="A94" s="81">
        <f>Données!$A122</f>
        <v>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65"/>
    </row>
    <row r="95" spans="1:15" s="64" customFormat="1" x14ac:dyDescent="0.25">
      <c r="A95" s="81">
        <f>Données!$A123</f>
        <v>0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65"/>
    </row>
    <row r="96" spans="1:15" s="64" customFormat="1" x14ac:dyDescent="0.25">
      <c r="A96" s="81">
        <f>Données!$A124</f>
        <v>0</v>
      </c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65"/>
    </row>
    <row r="97" spans="1:15" s="64" customFormat="1" x14ac:dyDescent="0.25">
      <c r="A97" s="81">
        <f>Données!$A125</f>
        <v>0</v>
      </c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65"/>
    </row>
    <row r="98" spans="1:15" s="64" customFormat="1" x14ac:dyDescent="0.25">
      <c r="A98" s="81">
        <f>Données!$A126</f>
        <v>0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65"/>
    </row>
    <row r="99" spans="1:15" s="64" customFormat="1" x14ac:dyDescent="0.25">
      <c r="A99" s="81">
        <f>Données!$A127</f>
        <v>0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65"/>
    </row>
    <row r="100" spans="1:15" s="64" customFormat="1" x14ac:dyDescent="0.25">
      <c r="A100" s="81">
        <f>Données!$A128</f>
        <v>0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65"/>
    </row>
    <row r="101" spans="1:15" s="64" customFormat="1" x14ac:dyDescent="0.25">
      <c r="A101" s="81">
        <f>Données!$A129</f>
        <v>0</v>
      </c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65"/>
    </row>
    <row r="102" spans="1:15" s="64" customFormat="1" x14ac:dyDescent="0.25">
      <c r="A102" s="81">
        <f>Données!$A130</f>
        <v>0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65"/>
    </row>
    <row r="103" spans="1:15" s="64" customFormat="1" x14ac:dyDescent="0.25">
      <c r="A103" s="81">
        <f>Données!$A131</f>
        <v>0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65"/>
    </row>
    <row r="104" spans="1:15" s="64" customFormat="1" x14ac:dyDescent="0.25">
      <c r="A104" s="81">
        <f>Données!$A132</f>
        <v>0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65"/>
    </row>
    <row r="105" spans="1:15" s="64" customFormat="1" x14ac:dyDescent="0.25">
      <c r="A105" s="81">
        <f>Données!$A133</f>
        <v>0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65"/>
    </row>
    <row r="106" spans="1:15" s="64" customFormat="1" x14ac:dyDescent="0.25">
      <c r="A106" s="81">
        <f>Données!$A134</f>
        <v>0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65"/>
    </row>
    <row r="107" spans="1:15" s="64" customFormat="1" x14ac:dyDescent="0.25">
      <c r="A107" s="81">
        <f>Données!$A135</f>
        <v>0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65"/>
    </row>
    <row r="108" spans="1:15" s="64" customFormat="1" x14ac:dyDescent="0.25">
      <c r="A108" s="81">
        <f>Données!$A136</f>
        <v>0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65"/>
    </row>
    <row r="109" spans="1:15" s="64" customFormat="1" x14ac:dyDescent="0.25">
      <c r="A109" s="81">
        <f>Données!$A137</f>
        <v>0</v>
      </c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65"/>
    </row>
    <row r="110" spans="1:15" s="64" customFormat="1" x14ac:dyDescent="0.25">
      <c r="A110" s="81">
        <f>Données!$A138</f>
        <v>0</v>
      </c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65"/>
    </row>
    <row r="111" spans="1:15" s="64" customFormat="1" x14ac:dyDescent="0.25">
      <c r="A111" s="81">
        <f>Données!$A139</f>
        <v>0</v>
      </c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65"/>
    </row>
    <row r="112" spans="1:15" s="64" customFormat="1" x14ac:dyDescent="0.25">
      <c r="A112" s="81">
        <f>Données!$A140</f>
        <v>0</v>
      </c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65"/>
    </row>
    <row r="113" spans="1:15" s="64" customFormat="1" x14ac:dyDescent="0.25">
      <c r="A113" s="81">
        <f>Données!$A141</f>
        <v>0</v>
      </c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65"/>
    </row>
    <row r="114" spans="1:15" s="64" customFormat="1" x14ac:dyDescent="0.25">
      <c r="A114" s="81">
        <f>Données!$A142</f>
        <v>0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65"/>
    </row>
    <row r="115" spans="1:15" s="64" customFormat="1" x14ac:dyDescent="0.25">
      <c r="A115" s="81">
        <f>Données!$A143</f>
        <v>0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65"/>
    </row>
    <row r="116" spans="1:15" s="64" customFormat="1" x14ac:dyDescent="0.25">
      <c r="A116" s="81">
        <f>Données!$A144</f>
        <v>0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65"/>
    </row>
    <row r="117" spans="1:15" s="64" customFormat="1" x14ac:dyDescent="0.25">
      <c r="A117" s="81">
        <f>Données!$A145</f>
        <v>0</v>
      </c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65"/>
    </row>
    <row r="118" spans="1:15" s="64" customFormat="1" x14ac:dyDescent="0.25">
      <c r="A118" s="81">
        <f>Données!$A146</f>
        <v>0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65"/>
    </row>
    <row r="119" spans="1:15" s="64" customFormat="1" x14ac:dyDescent="0.25">
      <c r="A119" s="81">
        <f>Données!$A147</f>
        <v>0</v>
      </c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65"/>
    </row>
    <row r="120" spans="1:15" s="64" customFormat="1" x14ac:dyDescent="0.25">
      <c r="A120" s="81">
        <f>Données!$A148</f>
        <v>0</v>
      </c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65"/>
    </row>
    <row r="121" spans="1:15" s="64" customFormat="1" x14ac:dyDescent="0.25">
      <c r="A121" s="81">
        <f>Données!$A149</f>
        <v>0</v>
      </c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65"/>
    </row>
    <row r="122" spans="1:15" s="64" customFormat="1" x14ac:dyDescent="0.25">
      <c r="A122" s="81">
        <f>Données!$A150</f>
        <v>0</v>
      </c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65"/>
    </row>
    <row r="123" spans="1:15" s="64" customFormat="1" x14ac:dyDescent="0.25">
      <c r="A123" s="81">
        <f>Données!$A151</f>
        <v>0</v>
      </c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65"/>
    </row>
    <row r="124" spans="1:15" s="64" customFormat="1" x14ac:dyDescent="0.25">
      <c r="A124" s="81">
        <f>Données!$A152</f>
        <v>0</v>
      </c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65"/>
    </row>
    <row r="125" spans="1:15" s="64" customFormat="1" x14ac:dyDescent="0.25">
      <c r="A125" s="81">
        <f>Données!$A153</f>
        <v>0</v>
      </c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65"/>
    </row>
    <row r="126" spans="1:15" s="64" customFormat="1" x14ac:dyDescent="0.25">
      <c r="A126" s="81">
        <f>Données!$A154</f>
        <v>0</v>
      </c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65"/>
    </row>
    <row r="127" spans="1:15" s="64" customFormat="1" x14ac:dyDescent="0.25">
      <c r="A127" s="81">
        <f>Données!$A155</f>
        <v>0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65"/>
    </row>
    <row r="128" spans="1:15" s="64" customFormat="1" x14ac:dyDescent="0.25">
      <c r="A128" s="81">
        <f>Données!$A156</f>
        <v>0</v>
      </c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65"/>
    </row>
    <row r="129" spans="1:15" s="64" customFormat="1" x14ac:dyDescent="0.25">
      <c r="A129" s="81">
        <f>Données!$A157</f>
        <v>0</v>
      </c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65"/>
    </row>
    <row r="130" spans="1:15" s="64" customFormat="1" x14ac:dyDescent="0.25">
      <c r="A130" s="81">
        <f>Données!$A158</f>
        <v>0</v>
      </c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65"/>
    </row>
    <row r="131" spans="1:15" s="64" customFormat="1" x14ac:dyDescent="0.25">
      <c r="A131" s="81">
        <f>Données!$A159</f>
        <v>0</v>
      </c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65"/>
    </row>
    <row r="132" spans="1:15" s="64" customFormat="1" x14ac:dyDescent="0.25">
      <c r="A132" s="81">
        <f>Données!$A160</f>
        <v>0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65"/>
    </row>
    <row r="133" spans="1:15" s="64" customFormat="1" x14ac:dyDescent="0.25">
      <c r="A133" s="81">
        <f>Données!$A161</f>
        <v>0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65"/>
    </row>
    <row r="134" spans="1:15" s="64" customFormat="1" x14ac:dyDescent="0.25">
      <c r="A134" s="81">
        <f>Données!$A162</f>
        <v>0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65"/>
    </row>
    <row r="135" spans="1:15" s="64" customFormat="1" x14ac:dyDescent="0.25">
      <c r="A135" s="81">
        <f>Données!$A163</f>
        <v>0</v>
      </c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65"/>
    </row>
    <row r="136" spans="1:15" s="64" customFormat="1" x14ac:dyDescent="0.25">
      <c r="A136" s="81">
        <f>Données!$A164</f>
        <v>0</v>
      </c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65"/>
    </row>
    <row r="137" spans="1:15" s="64" customFormat="1" x14ac:dyDescent="0.25">
      <c r="A137" s="81">
        <f>Données!$A165</f>
        <v>0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65"/>
    </row>
    <row r="138" spans="1:15" s="64" customFormat="1" x14ac:dyDescent="0.25">
      <c r="A138" s="81">
        <f>Données!$A166</f>
        <v>0</v>
      </c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65"/>
    </row>
    <row r="139" spans="1:15" s="64" customFormat="1" x14ac:dyDescent="0.25">
      <c r="A139" s="81">
        <f>Données!$A167</f>
        <v>0</v>
      </c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65"/>
    </row>
    <row r="140" spans="1:15" s="64" customFormat="1" x14ac:dyDescent="0.25">
      <c r="A140" s="81">
        <f>Données!$A168</f>
        <v>0</v>
      </c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65"/>
    </row>
    <row r="141" spans="1:15" s="64" customFormat="1" x14ac:dyDescent="0.25">
      <c r="A141" s="81">
        <f>Données!$A169</f>
        <v>0</v>
      </c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65"/>
    </row>
    <row r="142" spans="1:15" s="64" customFormat="1" x14ac:dyDescent="0.25">
      <c r="A142" s="81">
        <f>Données!$A170</f>
        <v>0</v>
      </c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65"/>
    </row>
    <row r="143" spans="1:15" s="64" customFormat="1" x14ac:dyDescent="0.25">
      <c r="A143" s="81">
        <f>Données!$A171</f>
        <v>0</v>
      </c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65"/>
    </row>
    <row r="144" spans="1:15" s="64" customFormat="1" x14ac:dyDescent="0.25">
      <c r="A144" s="81">
        <f>Données!$A172</f>
        <v>0</v>
      </c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65"/>
    </row>
    <row r="145" spans="1:15" s="64" customFormat="1" x14ac:dyDescent="0.25">
      <c r="A145" s="81">
        <f>Données!$A173</f>
        <v>0</v>
      </c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65"/>
    </row>
    <row r="146" spans="1:15" s="64" customFormat="1" x14ac:dyDescent="0.25">
      <c r="A146" s="81">
        <f>Données!$A174</f>
        <v>0</v>
      </c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65"/>
    </row>
    <row r="147" spans="1:15" s="64" customFormat="1" x14ac:dyDescent="0.25">
      <c r="A147" s="81">
        <f>Données!$A175</f>
        <v>0</v>
      </c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65"/>
    </row>
    <row r="148" spans="1:15" s="64" customFormat="1" x14ac:dyDescent="0.25">
      <c r="A148" s="81">
        <f>Données!$A176</f>
        <v>0</v>
      </c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65"/>
    </row>
    <row r="149" spans="1:15" s="64" customFormat="1" x14ac:dyDescent="0.25">
      <c r="A149" s="81">
        <f>Données!$A177</f>
        <v>0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65"/>
    </row>
    <row r="150" spans="1:15" s="64" customFormat="1" x14ac:dyDescent="0.25">
      <c r="A150" s="81">
        <f>Données!$A178</f>
        <v>0</v>
      </c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65"/>
    </row>
    <row r="151" spans="1:15" s="64" customFormat="1" x14ac:dyDescent="0.25">
      <c r="A151" s="81">
        <f>Données!$A179</f>
        <v>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65"/>
    </row>
    <row r="152" spans="1:15" s="64" customFormat="1" x14ac:dyDescent="0.25">
      <c r="A152" s="81">
        <f>Données!$A180</f>
        <v>0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65"/>
    </row>
    <row r="153" spans="1:15" s="64" customFormat="1" x14ac:dyDescent="0.25">
      <c r="A153" s="81">
        <f>Données!$A181</f>
        <v>0</v>
      </c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65"/>
    </row>
    <row r="154" spans="1:15" s="64" customFormat="1" x14ac:dyDescent="0.25">
      <c r="A154" s="81">
        <f>Données!$A182</f>
        <v>0</v>
      </c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65"/>
    </row>
    <row r="155" spans="1:15" s="64" customFormat="1" x14ac:dyDescent="0.25">
      <c r="A155" s="81">
        <f>Données!$A183</f>
        <v>0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65"/>
    </row>
    <row r="156" spans="1:15" s="64" customFormat="1" x14ac:dyDescent="0.25">
      <c r="A156" s="81">
        <f>Données!$A184</f>
        <v>0</v>
      </c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65"/>
    </row>
    <row r="157" spans="1:15" s="64" customFormat="1" x14ac:dyDescent="0.25">
      <c r="A157" s="81">
        <f>Données!$A185</f>
        <v>0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65"/>
    </row>
    <row r="158" spans="1:15" s="64" customFormat="1" x14ac:dyDescent="0.25">
      <c r="A158" s="81">
        <f>Données!$A186</f>
        <v>0</v>
      </c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65"/>
    </row>
    <row r="159" spans="1:15" s="64" customFormat="1" x14ac:dyDescent="0.25">
      <c r="A159" s="81">
        <f>Données!$A187</f>
        <v>0</v>
      </c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65"/>
    </row>
    <row r="160" spans="1:15" s="64" customFormat="1" x14ac:dyDescent="0.25">
      <c r="A160" s="81">
        <f>Données!$A188</f>
        <v>0</v>
      </c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65"/>
    </row>
    <row r="161" spans="1:15" s="64" customFormat="1" x14ac:dyDescent="0.25">
      <c r="A161" s="81">
        <f>Données!$A189</f>
        <v>0</v>
      </c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65"/>
    </row>
    <row r="162" spans="1:15" s="64" customFormat="1" x14ac:dyDescent="0.25">
      <c r="A162" s="81">
        <f>Données!$A190</f>
        <v>0</v>
      </c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65"/>
    </row>
    <row r="163" spans="1:15" s="64" customFormat="1" x14ac:dyDescent="0.25">
      <c r="A163" s="81">
        <f>Données!$A191</f>
        <v>0</v>
      </c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65"/>
    </row>
    <row r="164" spans="1:15" s="64" customFormat="1" x14ac:dyDescent="0.25">
      <c r="A164" s="81">
        <f>Données!$A192</f>
        <v>0</v>
      </c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65"/>
    </row>
    <row r="165" spans="1:15" s="64" customFormat="1" x14ac:dyDescent="0.25">
      <c r="A165" s="81">
        <f>Données!$A193</f>
        <v>0</v>
      </c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65"/>
    </row>
    <row r="166" spans="1:15" s="64" customFormat="1" x14ac:dyDescent="0.25">
      <c r="A166" s="81">
        <f>Données!$A194</f>
        <v>0</v>
      </c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65"/>
    </row>
    <row r="167" spans="1:15" s="64" customFormat="1" x14ac:dyDescent="0.25">
      <c r="A167" s="81">
        <f>Données!$A195</f>
        <v>0</v>
      </c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65"/>
    </row>
    <row r="168" spans="1:15" s="64" customFormat="1" x14ac:dyDescent="0.25">
      <c r="A168" s="81">
        <f>Données!$A196</f>
        <v>0</v>
      </c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65"/>
    </row>
    <row r="169" spans="1:15" s="64" customFormat="1" x14ac:dyDescent="0.25">
      <c r="A169" s="81">
        <f>Données!$A197</f>
        <v>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65"/>
    </row>
    <row r="170" spans="1:15" s="64" customFormat="1" x14ac:dyDescent="0.25">
      <c r="A170" s="81">
        <f>Données!$A198</f>
        <v>0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65"/>
    </row>
    <row r="171" spans="1:15" s="64" customFormat="1" x14ac:dyDescent="0.25">
      <c r="A171" s="81">
        <f>Données!$A199</f>
        <v>0</v>
      </c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65"/>
    </row>
    <row r="172" spans="1:15" s="64" customFormat="1" x14ac:dyDescent="0.25">
      <c r="A172" s="81">
        <f>Données!$A200</f>
        <v>0</v>
      </c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65"/>
    </row>
    <row r="173" spans="1:15" s="64" customFormat="1" x14ac:dyDescent="0.25">
      <c r="A173" s="81">
        <f>Données!$A201</f>
        <v>0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65"/>
    </row>
    <row r="174" spans="1:15" s="64" customFormat="1" x14ac:dyDescent="0.25">
      <c r="A174" s="81">
        <f>Données!$A202</f>
        <v>0</v>
      </c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65"/>
    </row>
    <row r="175" spans="1:15" s="64" customFormat="1" x14ac:dyDescent="0.25">
      <c r="A175" s="81">
        <f>Données!$A203</f>
        <v>0</v>
      </c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65"/>
    </row>
    <row r="176" spans="1:15" s="64" customFormat="1" x14ac:dyDescent="0.25">
      <c r="A176" s="81">
        <f>Données!$A204</f>
        <v>0</v>
      </c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65"/>
    </row>
    <row r="177" spans="1:15" s="64" customFormat="1" x14ac:dyDescent="0.25">
      <c r="A177" s="81">
        <f>Données!$A205</f>
        <v>0</v>
      </c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65"/>
    </row>
    <row r="178" spans="1:15" s="64" customFormat="1" x14ac:dyDescent="0.25">
      <c r="A178" s="81">
        <f>Données!$A206</f>
        <v>0</v>
      </c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65"/>
    </row>
    <row r="179" spans="1:15" s="64" customFormat="1" x14ac:dyDescent="0.25">
      <c r="A179" s="81">
        <f>Données!$A207</f>
        <v>0</v>
      </c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65"/>
    </row>
    <row r="180" spans="1:15" s="64" customFormat="1" x14ac:dyDescent="0.25">
      <c r="A180" s="81">
        <f>Données!$A208</f>
        <v>0</v>
      </c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65"/>
    </row>
    <row r="181" spans="1:15" s="64" customFormat="1" x14ac:dyDescent="0.25">
      <c r="A181" s="81">
        <f>Données!$A209</f>
        <v>0</v>
      </c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65"/>
    </row>
    <row r="182" spans="1:15" s="64" customFormat="1" x14ac:dyDescent="0.25">
      <c r="A182" s="81">
        <f>Données!$A210</f>
        <v>0</v>
      </c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65"/>
    </row>
    <row r="183" spans="1:15" s="64" customFormat="1" x14ac:dyDescent="0.25">
      <c r="A183" s="81">
        <f>Données!$A211</f>
        <v>0</v>
      </c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65"/>
    </row>
    <row r="184" spans="1:15" s="64" customFormat="1" x14ac:dyDescent="0.25">
      <c r="A184" s="81">
        <f>Données!$A212</f>
        <v>0</v>
      </c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65"/>
    </row>
    <row r="185" spans="1:15" s="64" customFormat="1" x14ac:dyDescent="0.25">
      <c r="A185" s="81">
        <f>Données!$A213</f>
        <v>0</v>
      </c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65"/>
    </row>
    <row r="186" spans="1:15" s="64" customFormat="1" x14ac:dyDescent="0.25">
      <c r="A186" s="81">
        <f>Données!$A214</f>
        <v>0</v>
      </c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65"/>
    </row>
    <row r="187" spans="1:15" s="64" customFormat="1" x14ac:dyDescent="0.25">
      <c r="A187" s="81">
        <f>Données!$A215</f>
        <v>0</v>
      </c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65"/>
    </row>
    <row r="188" spans="1:15" s="64" customFormat="1" x14ac:dyDescent="0.25">
      <c r="A188" s="81">
        <f>Données!$A216</f>
        <v>0</v>
      </c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65"/>
    </row>
    <row r="189" spans="1:15" s="64" customFormat="1" x14ac:dyDescent="0.25">
      <c r="A189" s="81">
        <f>Données!$A217</f>
        <v>0</v>
      </c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65"/>
    </row>
    <row r="190" spans="1:15" s="64" customFormat="1" x14ac:dyDescent="0.25">
      <c r="A190" s="81">
        <f>Données!$A218</f>
        <v>0</v>
      </c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65"/>
    </row>
    <row r="191" spans="1:15" s="64" customFormat="1" x14ac:dyDescent="0.25">
      <c r="A191" s="81">
        <f>Données!$A219</f>
        <v>0</v>
      </c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65"/>
    </row>
    <row r="192" spans="1:15" s="64" customFormat="1" x14ac:dyDescent="0.25">
      <c r="A192" s="81">
        <f>Données!$A220</f>
        <v>0</v>
      </c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65"/>
    </row>
    <row r="193" spans="1:15" s="64" customFormat="1" x14ac:dyDescent="0.25">
      <c r="A193" s="81">
        <f>Données!$A221</f>
        <v>0</v>
      </c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65"/>
    </row>
    <row r="194" spans="1:15" s="64" customFormat="1" x14ac:dyDescent="0.25">
      <c r="A194" s="81">
        <f>Données!$A222</f>
        <v>0</v>
      </c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65"/>
    </row>
    <row r="195" spans="1:15" s="64" customFormat="1" x14ac:dyDescent="0.25">
      <c r="A195" s="81">
        <f>Données!$A223</f>
        <v>0</v>
      </c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65"/>
    </row>
    <row r="196" spans="1:15" s="64" customFormat="1" x14ac:dyDescent="0.25">
      <c r="A196" s="81">
        <f>Données!$A224</f>
        <v>0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65"/>
    </row>
    <row r="197" spans="1:15" s="64" customFormat="1" x14ac:dyDescent="0.25">
      <c r="A197" s="81">
        <f>Données!$A225</f>
        <v>0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65"/>
    </row>
    <row r="198" spans="1:15" s="64" customFormat="1" x14ac:dyDescent="0.25">
      <c r="A198" s="81">
        <f>Données!$A226</f>
        <v>0</v>
      </c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65"/>
    </row>
    <row r="199" spans="1:15" s="64" customFormat="1" x14ac:dyDescent="0.25">
      <c r="A199" s="81">
        <f>Données!$A227</f>
        <v>0</v>
      </c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65"/>
    </row>
    <row r="200" spans="1:15" s="64" customFormat="1" x14ac:dyDescent="0.25">
      <c r="A200" s="81">
        <f>Données!$A228</f>
        <v>0</v>
      </c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65"/>
    </row>
    <row r="201" spans="1:15" s="64" customFormat="1" x14ac:dyDescent="0.25">
      <c r="A201" s="81">
        <f>Données!$A229</f>
        <v>0</v>
      </c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65"/>
    </row>
    <row r="202" spans="1:15" s="64" customFormat="1" x14ac:dyDescent="0.25">
      <c r="A202" s="81">
        <f>Données!$A230</f>
        <v>0</v>
      </c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65"/>
    </row>
    <row r="203" spans="1:15" s="64" customFormat="1" x14ac:dyDescent="0.25">
      <c r="A203" s="81">
        <f>Données!$A231</f>
        <v>0</v>
      </c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65"/>
    </row>
    <row r="204" spans="1:15" s="64" customFormat="1" x14ac:dyDescent="0.25">
      <c r="A204" s="81">
        <f>Données!$A232</f>
        <v>0</v>
      </c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65"/>
    </row>
    <row r="205" spans="1:15" s="64" customFormat="1" x14ac:dyDescent="0.25">
      <c r="A205" s="81">
        <f>Données!$A233</f>
        <v>0</v>
      </c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65"/>
    </row>
    <row r="206" spans="1:15" s="64" customFormat="1" x14ac:dyDescent="0.25">
      <c r="A206" s="81">
        <f>Données!$A234</f>
        <v>0</v>
      </c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65"/>
    </row>
    <row r="207" spans="1:15" s="64" customFormat="1" x14ac:dyDescent="0.25">
      <c r="A207" s="81">
        <f>Données!$A235</f>
        <v>0</v>
      </c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65"/>
    </row>
    <row r="208" spans="1:15" s="64" customFormat="1" x14ac:dyDescent="0.25">
      <c r="A208" s="81">
        <f>Données!$A236</f>
        <v>0</v>
      </c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65"/>
    </row>
    <row r="209" spans="1:15" s="64" customFormat="1" x14ac:dyDescent="0.25">
      <c r="A209" s="81">
        <f>Données!$A237</f>
        <v>0</v>
      </c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65"/>
    </row>
    <row r="210" spans="1:15" s="64" customFormat="1" x14ac:dyDescent="0.25">
      <c r="A210" s="81">
        <f>Données!$A238</f>
        <v>0</v>
      </c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65"/>
    </row>
    <row r="211" spans="1:15" s="64" customFormat="1" x14ac:dyDescent="0.25">
      <c r="A211" s="81">
        <f>Données!$A239</f>
        <v>0</v>
      </c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65"/>
    </row>
    <row r="212" spans="1:15" s="64" customFormat="1" x14ac:dyDescent="0.25">
      <c r="A212" s="81">
        <f>Données!$A240</f>
        <v>0</v>
      </c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65"/>
    </row>
    <row r="213" spans="1:15" s="64" customFormat="1" x14ac:dyDescent="0.25">
      <c r="A213" s="81">
        <f>Données!$A241</f>
        <v>0</v>
      </c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65"/>
    </row>
    <row r="214" spans="1:15" s="64" customFormat="1" x14ac:dyDescent="0.25">
      <c r="A214" s="81">
        <f>Données!$A242</f>
        <v>0</v>
      </c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65"/>
    </row>
    <row r="215" spans="1:15" s="64" customFormat="1" x14ac:dyDescent="0.25">
      <c r="A215" s="81">
        <f>Données!$A243</f>
        <v>0</v>
      </c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65"/>
    </row>
    <row r="216" spans="1:15" s="64" customFormat="1" x14ac:dyDescent="0.25">
      <c r="A216" s="81">
        <f>Données!$A244</f>
        <v>0</v>
      </c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65"/>
    </row>
    <row r="217" spans="1:15" s="64" customFormat="1" x14ac:dyDescent="0.25">
      <c r="A217" s="81">
        <f>Données!$A245</f>
        <v>0</v>
      </c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65"/>
    </row>
    <row r="218" spans="1:15" s="64" customFormat="1" x14ac:dyDescent="0.25">
      <c r="A218" s="81">
        <f>Données!$A246</f>
        <v>0</v>
      </c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65"/>
    </row>
    <row r="219" spans="1:15" s="64" customFormat="1" x14ac:dyDescent="0.25">
      <c r="A219" s="81">
        <f>Données!$A247</f>
        <v>0</v>
      </c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65"/>
    </row>
    <row r="220" spans="1:15" s="64" customFormat="1" x14ac:dyDescent="0.25">
      <c r="A220" s="81">
        <f>Données!$A248</f>
        <v>0</v>
      </c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65"/>
    </row>
    <row r="221" spans="1:15" s="64" customFormat="1" x14ac:dyDescent="0.25">
      <c r="A221" s="81">
        <f>Données!$A249</f>
        <v>0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65"/>
    </row>
    <row r="222" spans="1:15" s="64" customFormat="1" x14ac:dyDescent="0.25">
      <c r="A222" s="81">
        <f>Données!$A250</f>
        <v>0</v>
      </c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65"/>
    </row>
    <row r="223" spans="1:15" s="64" customFormat="1" x14ac:dyDescent="0.25">
      <c r="A223" s="81">
        <f>Données!$A251</f>
        <v>0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65"/>
    </row>
    <row r="224" spans="1:15" s="64" customFormat="1" x14ac:dyDescent="0.25">
      <c r="A224" s="81">
        <f>Données!$A252</f>
        <v>0</v>
      </c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65"/>
    </row>
    <row r="225" spans="1:15" s="64" customFormat="1" x14ac:dyDescent="0.25">
      <c r="A225" s="81">
        <f>Données!$A253</f>
        <v>0</v>
      </c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65"/>
    </row>
    <row r="226" spans="1:15" s="64" customFormat="1" x14ac:dyDescent="0.25">
      <c r="A226" s="81">
        <f>Données!$A254</f>
        <v>0</v>
      </c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65"/>
    </row>
    <row r="227" spans="1:15" s="64" customFormat="1" x14ac:dyDescent="0.25">
      <c r="A227" s="81">
        <f>Données!$A255</f>
        <v>0</v>
      </c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65"/>
    </row>
    <row r="228" spans="1:15" s="64" customFormat="1" x14ac:dyDescent="0.25">
      <c r="A228" s="81">
        <f>Données!$A256</f>
        <v>0</v>
      </c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65"/>
    </row>
    <row r="229" spans="1:15" s="64" customFormat="1" x14ac:dyDescent="0.25">
      <c r="A229" s="81">
        <f>Données!$A257</f>
        <v>0</v>
      </c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65"/>
    </row>
    <row r="230" spans="1:15" s="64" customFormat="1" x14ac:dyDescent="0.25">
      <c r="A230" s="81">
        <f>Données!$A258</f>
        <v>0</v>
      </c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65"/>
    </row>
    <row r="231" spans="1:15" s="64" customFormat="1" x14ac:dyDescent="0.25">
      <c r="A231" s="81">
        <f>Données!$A259</f>
        <v>0</v>
      </c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65"/>
    </row>
    <row r="232" spans="1:15" s="64" customFormat="1" x14ac:dyDescent="0.25">
      <c r="A232" s="81">
        <f>Données!$A260</f>
        <v>0</v>
      </c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65"/>
    </row>
    <row r="233" spans="1:15" s="64" customFormat="1" x14ac:dyDescent="0.25">
      <c r="A233" s="81">
        <f>Données!$A261</f>
        <v>0</v>
      </c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65"/>
    </row>
    <row r="234" spans="1:15" s="64" customFormat="1" x14ac:dyDescent="0.25">
      <c r="A234" s="81">
        <f>Données!$A262</f>
        <v>0</v>
      </c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65"/>
    </row>
    <row r="235" spans="1:15" s="64" customFormat="1" x14ac:dyDescent="0.25">
      <c r="A235" s="81">
        <f>Données!$A263</f>
        <v>0</v>
      </c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65"/>
    </row>
    <row r="236" spans="1:15" s="64" customFormat="1" x14ac:dyDescent="0.25">
      <c r="A236" s="81">
        <f>Données!$A264</f>
        <v>0</v>
      </c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65"/>
    </row>
    <row r="237" spans="1:15" s="64" customFormat="1" x14ac:dyDescent="0.25">
      <c r="A237" s="81">
        <f>Données!$A265</f>
        <v>0</v>
      </c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65"/>
    </row>
    <row r="238" spans="1:15" s="64" customFormat="1" x14ac:dyDescent="0.25">
      <c r="A238" s="81">
        <f>Données!$A266</f>
        <v>0</v>
      </c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65"/>
    </row>
    <row r="239" spans="1:15" s="64" customFormat="1" x14ac:dyDescent="0.25">
      <c r="A239" s="81">
        <f>Données!$A267</f>
        <v>0</v>
      </c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65"/>
    </row>
    <row r="240" spans="1:15" s="64" customFormat="1" x14ac:dyDescent="0.25">
      <c r="A240" s="81">
        <f>Données!$A268</f>
        <v>0</v>
      </c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65"/>
    </row>
    <row r="241" spans="1:15" s="64" customFormat="1" x14ac:dyDescent="0.25">
      <c r="A241" s="81">
        <f>Données!$A269</f>
        <v>0</v>
      </c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65"/>
    </row>
    <row r="242" spans="1:15" s="64" customFormat="1" x14ac:dyDescent="0.25">
      <c r="A242" s="81">
        <f>Données!$A270</f>
        <v>0</v>
      </c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65"/>
    </row>
    <row r="243" spans="1:15" s="64" customFormat="1" x14ac:dyDescent="0.25">
      <c r="A243" s="81">
        <f>Données!$A271</f>
        <v>0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65"/>
    </row>
    <row r="244" spans="1:15" s="64" customFormat="1" x14ac:dyDescent="0.25">
      <c r="A244" s="81">
        <f>Données!$A272</f>
        <v>0</v>
      </c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65"/>
    </row>
    <row r="245" spans="1:15" s="64" customFormat="1" x14ac:dyDescent="0.25">
      <c r="A245" s="81">
        <f>Données!$A273</f>
        <v>0</v>
      </c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65"/>
    </row>
    <row r="246" spans="1:15" s="64" customFormat="1" x14ac:dyDescent="0.25">
      <c r="A246" s="81">
        <f>Données!$A274</f>
        <v>0</v>
      </c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65"/>
    </row>
    <row r="247" spans="1:15" s="64" customFormat="1" x14ac:dyDescent="0.25">
      <c r="A247" s="81">
        <f>Données!$A275</f>
        <v>0</v>
      </c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65"/>
    </row>
    <row r="248" spans="1:15" s="64" customFormat="1" x14ac:dyDescent="0.25">
      <c r="A248" s="81">
        <f>Données!$A276</f>
        <v>0</v>
      </c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65"/>
    </row>
    <row r="249" spans="1:15" s="64" customFormat="1" x14ac:dyDescent="0.25">
      <c r="A249" s="81">
        <f>Données!$A277</f>
        <v>0</v>
      </c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65"/>
    </row>
    <row r="250" spans="1:15" s="64" customFormat="1" x14ac:dyDescent="0.25">
      <c r="A250" s="81">
        <f>Données!$A278</f>
        <v>0</v>
      </c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65"/>
    </row>
    <row r="251" spans="1:15" s="64" customFormat="1" x14ac:dyDescent="0.25">
      <c r="A251" s="81">
        <f>Données!$A279</f>
        <v>0</v>
      </c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65"/>
    </row>
    <row r="252" spans="1:15" s="64" customFormat="1" x14ac:dyDescent="0.25">
      <c r="A252" s="81">
        <f>Données!$A280</f>
        <v>0</v>
      </c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65"/>
    </row>
    <row r="253" spans="1:15" s="64" customFormat="1" x14ac:dyDescent="0.25">
      <c r="A253" s="81">
        <f>Données!$A281</f>
        <v>0</v>
      </c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65"/>
    </row>
    <row r="254" spans="1:15" s="64" customFormat="1" x14ac:dyDescent="0.25">
      <c r="A254" s="81">
        <f>Données!$A282</f>
        <v>0</v>
      </c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65"/>
    </row>
    <row r="255" spans="1:15" s="64" customFormat="1" x14ac:dyDescent="0.25">
      <c r="A255" s="81">
        <f>Données!$A283</f>
        <v>0</v>
      </c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65"/>
    </row>
    <row r="256" spans="1:15" s="64" customFormat="1" x14ac:dyDescent="0.25">
      <c r="A256" s="81">
        <f>Données!$A284</f>
        <v>0</v>
      </c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65"/>
    </row>
    <row r="257" spans="1:15" s="64" customFormat="1" x14ac:dyDescent="0.25">
      <c r="A257" s="81">
        <f>Données!$A285</f>
        <v>0</v>
      </c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65"/>
    </row>
    <row r="258" spans="1:15" s="64" customFormat="1" x14ac:dyDescent="0.25">
      <c r="A258" s="81">
        <f>Données!$A286</f>
        <v>0</v>
      </c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65"/>
    </row>
    <row r="259" spans="1:15" s="64" customFormat="1" x14ac:dyDescent="0.25">
      <c r="A259" s="81">
        <f>Données!$A287</f>
        <v>0</v>
      </c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65"/>
    </row>
    <row r="260" spans="1:15" s="64" customFormat="1" x14ac:dyDescent="0.25">
      <c r="A260" s="81">
        <f>Données!$A288</f>
        <v>0</v>
      </c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65"/>
    </row>
    <row r="261" spans="1:15" s="64" customFormat="1" x14ac:dyDescent="0.25">
      <c r="A261" s="81">
        <f>Données!$A289</f>
        <v>0</v>
      </c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65"/>
    </row>
    <row r="262" spans="1:15" s="64" customFormat="1" x14ac:dyDescent="0.25">
      <c r="A262" s="81">
        <f>Données!$A290</f>
        <v>0</v>
      </c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65"/>
    </row>
    <row r="263" spans="1:15" s="64" customFormat="1" x14ac:dyDescent="0.25">
      <c r="A263" s="81">
        <f>Données!$A291</f>
        <v>0</v>
      </c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65"/>
    </row>
    <row r="264" spans="1:15" s="64" customFormat="1" x14ac:dyDescent="0.25">
      <c r="A264" s="81">
        <f>Données!$A292</f>
        <v>0</v>
      </c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65"/>
    </row>
    <row r="265" spans="1:15" s="64" customFormat="1" x14ac:dyDescent="0.25">
      <c r="A265" s="81">
        <f>Données!$A293</f>
        <v>0</v>
      </c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65"/>
    </row>
    <row r="266" spans="1:15" s="64" customFormat="1" x14ac:dyDescent="0.25">
      <c r="A266" s="81">
        <f>Données!$A294</f>
        <v>0</v>
      </c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65"/>
    </row>
    <row r="267" spans="1:15" s="64" customFormat="1" x14ac:dyDescent="0.25">
      <c r="A267" s="81">
        <f>Données!$A295</f>
        <v>0</v>
      </c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65"/>
    </row>
    <row r="268" spans="1:15" s="64" customFormat="1" x14ac:dyDescent="0.25">
      <c r="A268" s="81">
        <f>Données!$A296</f>
        <v>0</v>
      </c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65"/>
    </row>
    <row r="269" spans="1:15" s="64" customFormat="1" x14ac:dyDescent="0.25">
      <c r="A269" s="81">
        <f>Données!$A297</f>
        <v>0</v>
      </c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65"/>
    </row>
    <row r="270" spans="1:15" s="64" customFormat="1" x14ac:dyDescent="0.25">
      <c r="A270" s="81">
        <f>Données!$A298</f>
        <v>0</v>
      </c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65"/>
    </row>
    <row r="271" spans="1:15" s="64" customFormat="1" x14ac:dyDescent="0.25">
      <c r="A271" s="81">
        <f>Données!$A299</f>
        <v>0</v>
      </c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65"/>
    </row>
    <row r="272" spans="1:15" s="64" customFormat="1" x14ac:dyDescent="0.25">
      <c r="A272" s="81">
        <f>Données!$A300</f>
        <v>0</v>
      </c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65"/>
    </row>
    <row r="273" spans="1:15" s="64" customFormat="1" x14ac:dyDescent="0.25">
      <c r="A273" s="81">
        <f>Données!$A301</f>
        <v>0</v>
      </c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65"/>
    </row>
    <row r="274" spans="1:15" s="64" customFormat="1" x14ac:dyDescent="0.25">
      <c r="A274" s="81">
        <f>Données!$A302</f>
        <v>0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65"/>
    </row>
    <row r="275" spans="1:15" s="64" customFormat="1" x14ac:dyDescent="0.25">
      <c r="A275" s="81">
        <f>Données!$A303</f>
        <v>0</v>
      </c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65"/>
    </row>
    <row r="276" spans="1:15" s="64" customFormat="1" x14ac:dyDescent="0.25">
      <c r="A276" s="81">
        <f>Données!$A304</f>
        <v>0</v>
      </c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65"/>
    </row>
    <row r="277" spans="1:15" s="64" customFormat="1" x14ac:dyDescent="0.25">
      <c r="A277" s="81">
        <f>Données!$A305</f>
        <v>0</v>
      </c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65"/>
    </row>
    <row r="278" spans="1:15" s="64" customFormat="1" x14ac:dyDescent="0.25">
      <c r="A278" s="81">
        <f>Données!$A306</f>
        <v>0</v>
      </c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65"/>
    </row>
    <row r="279" spans="1:15" s="64" customFormat="1" x14ac:dyDescent="0.25">
      <c r="A279" s="81">
        <f>Données!$A307</f>
        <v>0</v>
      </c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65"/>
    </row>
    <row r="280" spans="1:15" s="64" customFormat="1" x14ac:dyDescent="0.25">
      <c r="A280" s="81">
        <f>Données!$A308</f>
        <v>0</v>
      </c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65"/>
    </row>
    <row r="281" spans="1:15" s="64" customFormat="1" x14ac:dyDescent="0.25">
      <c r="A281" s="81">
        <f>Données!$A309</f>
        <v>0</v>
      </c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65"/>
    </row>
    <row r="282" spans="1:15" s="64" customFormat="1" x14ac:dyDescent="0.25">
      <c r="A282" s="81">
        <f>Données!$A310</f>
        <v>0</v>
      </c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65"/>
    </row>
    <row r="283" spans="1:15" s="64" customFormat="1" x14ac:dyDescent="0.25">
      <c r="A283" s="81">
        <f>Données!$A311</f>
        <v>0</v>
      </c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65"/>
    </row>
    <row r="284" spans="1:15" s="64" customFormat="1" x14ac:dyDescent="0.25">
      <c r="A284" s="81">
        <f>Données!$A312</f>
        <v>0</v>
      </c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65"/>
    </row>
    <row r="285" spans="1:15" s="64" customFormat="1" x14ac:dyDescent="0.25">
      <c r="A285" s="81">
        <f>Données!$A313</f>
        <v>0</v>
      </c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65"/>
    </row>
    <row r="286" spans="1:15" s="64" customFormat="1" x14ac:dyDescent="0.25">
      <c r="A286" s="81">
        <f>Données!$A314</f>
        <v>0</v>
      </c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65"/>
    </row>
    <row r="287" spans="1:15" s="64" customFormat="1" x14ac:dyDescent="0.25">
      <c r="A287" s="81">
        <f>Données!$A315</f>
        <v>0</v>
      </c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65"/>
    </row>
    <row r="288" spans="1:15" s="64" customFormat="1" x14ac:dyDescent="0.25">
      <c r="A288" s="81">
        <f>Données!$A316</f>
        <v>0</v>
      </c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65"/>
    </row>
    <row r="289" spans="1:15" s="64" customFormat="1" x14ac:dyDescent="0.25">
      <c r="A289" s="81">
        <f>Données!$A317</f>
        <v>0</v>
      </c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65"/>
    </row>
    <row r="290" spans="1:15" s="64" customFormat="1" x14ac:dyDescent="0.25">
      <c r="A290" s="81">
        <f>Données!$A318</f>
        <v>0</v>
      </c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65"/>
    </row>
    <row r="291" spans="1:15" s="64" customFormat="1" x14ac:dyDescent="0.25">
      <c r="A291" s="81">
        <f>Données!$A319</f>
        <v>0</v>
      </c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65"/>
    </row>
    <row r="292" spans="1:15" s="64" customFormat="1" x14ac:dyDescent="0.25">
      <c r="A292" s="81">
        <f>Données!$A320</f>
        <v>0</v>
      </c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65"/>
    </row>
    <row r="293" spans="1:15" s="64" customFormat="1" x14ac:dyDescent="0.25">
      <c r="A293" s="81">
        <f>Données!$A321</f>
        <v>0</v>
      </c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65"/>
    </row>
    <row r="294" spans="1:15" s="64" customFormat="1" x14ac:dyDescent="0.25">
      <c r="A294" s="81">
        <f>Données!$A322</f>
        <v>0</v>
      </c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65"/>
    </row>
    <row r="295" spans="1:15" s="64" customFormat="1" x14ac:dyDescent="0.25">
      <c r="A295" s="81">
        <f>Données!$A323</f>
        <v>0</v>
      </c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65"/>
    </row>
    <row r="296" spans="1:15" s="64" customFormat="1" x14ac:dyDescent="0.25">
      <c r="A296" s="81">
        <f>Données!$A324</f>
        <v>0</v>
      </c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65"/>
    </row>
    <row r="297" spans="1:15" s="64" customFormat="1" x14ac:dyDescent="0.25">
      <c r="A297" s="81">
        <f>Données!$A325</f>
        <v>0</v>
      </c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65"/>
    </row>
    <row r="298" spans="1:15" s="64" customFormat="1" x14ac:dyDescent="0.25">
      <c r="A298" s="81">
        <f>Données!$A326</f>
        <v>0</v>
      </c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65"/>
    </row>
    <row r="299" spans="1:15" s="64" customFormat="1" x14ac:dyDescent="0.25">
      <c r="A299" s="81">
        <f>Données!$A327</f>
        <v>0</v>
      </c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65"/>
    </row>
    <row r="300" spans="1:15" s="64" customFormat="1" x14ac:dyDescent="0.25">
      <c r="A300" s="81">
        <f>Données!$A328</f>
        <v>0</v>
      </c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65"/>
    </row>
    <row r="301" spans="1:15" s="64" customFormat="1" x14ac:dyDescent="0.25">
      <c r="A301" s="81">
        <f>Données!$A329</f>
        <v>0</v>
      </c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65"/>
    </row>
    <row r="302" spans="1:15" s="64" customFormat="1" x14ac:dyDescent="0.25">
      <c r="A302" s="81">
        <f>Données!$A330</f>
        <v>0</v>
      </c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65"/>
    </row>
    <row r="303" spans="1:15" s="64" customFormat="1" x14ac:dyDescent="0.25">
      <c r="A303" s="81">
        <f>Données!$A331</f>
        <v>0</v>
      </c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65"/>
    </row>
    <row r="304" spans="1:15" s="64" customFormat="1" x14ac:dyDescent="0.25">
      <c r="A304" s="81">
        <f>Données!$A332</f>
        <v>0</v>
      </c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65"/>
    </row>
    <row r="305" spans="1:15" s="64" customFormat="1" x14ac:dyDescent="0.25">
      <c r="A305" s="81">
        <f>Données!$A333</f>
        <v>0</v>
      </c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65"/>
    </row>
    <row r="306" spans="1:15" s="64" customFormat="1" x14ac:dyDescent="0.25">
      <c r="A306" s="81">
        <f>Données!$A334</f>
        <v>0</v>
      </c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65"/>
    </row>
    <row r="307" spans="1:15" s="64" customFormat="1" x14ac:dyDescent="0.25">
      <c r="A307" s="81">
        <f>Données!$A335</f>
        <v>0</v>
      </c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65"/>
    </row>
    <row r="308" spans="1:15" s="64" customFormat="1" x14ac:dyDescent="0.25">
      <c r="A308" s="81">
        <f>Données!$A336</f>
        <v>0</v>
      </c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65"/>
    </row>
    <row r="309" spans="1:15" s="64" customFormat="1" x14ac:dyDescent="0.25">
      <c r="A309" s="81">
        <f>Données!$A337</f>
        <v>0</v>
      </c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65"/>
    </row>
    <row r="310" spans="1:15" s="64" customFormat="1" x14ac:dyDescent="0.25">
      <c r="A310" s="81">
        <f>Données!$A338</f>
        <v>0</v>
      </c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65"/>
    </row>
    <row r="311" spans="1:15" s="64" customFormat="1" x14ac:dyDescent="0.25">
      <c r="A311" s="81">
        <f>Données!$A339</f>
        <v>0</v>
      </c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65"/>
    </row>
    <row r="312" spans="1:15" s="64" customFormat="1" x14ac:dyDescent="0.25">
      <c r="A312" s="81">
        <f>Données!$A340</f>
        <v>0</v>
      </c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65"/>
    </row>
    <row r="313" spans="1:15" s="64" customFormat="1" x14ac:dyDescent="0.25">
      <c r="A313" s="81">
        <f>Données!$A341</f>
        <v>0</v>
      </c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65"/>
    </row>
    <row r="314" spans="1:15" s="64" customFormat="1" x14ac:dyDescent="0.25">
      <c r="A314" s="81">
        <f>Données!$A342</f>
        <v>0</v>
      </c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65"/>
    </row>
    <row r="315" spans="1:15" s="64" customFormat="1" x14ac:dyDescent="0.25">
      <c r="A315" s="81">
        <f>Données!$A419</f>
        <v>0</v>
      </c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65"/>
    </row>
    <row r="316" spans="1:15" s="64" customFormat="1" x14ac:dyDescent="0.25">
      <c r="A316" s="81">
        <f>Données!$A420</f>
        <v>0</v>
      </c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65"/>
    </row>
    <row r="317" spans="1:15" s="64" customFormat="1" x14ac:dyDescent="0.25">
      <c r="A317" s="81">
        <f>Données!$A421</f>
        <v>0</v>
      </c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65"/>
    </row>
    <row r="318" spans="1:15" s="64" customFormat="1" x14ac:dyDescent="0.25">
      <c r="A318" s="81">
        <f>Données!$A422</f>
        <v>0</v>
      </c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65"/>
    </row>
    <row r="319" spans="1:15" s="64" customFormat="1" x14ac:dyDescent="0.25">
      <c r="A319" s="81">
        <f>Données!$A423</f>
        <v>0</v>
      </c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65"/>
    </row>
    <row r="320" spans="1:15" s="64" customFormat="1" x14ac:dyDescent="0.25">
      <c r="A320" s="81">
        <f>Données!$A424</f>
        <v>0</v>
      </c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65"/>
    </row>
    <row r="321" spans="1:15" s="64" customFormat="1" x14ac:dyDescent="0.25">
      <c r="A321" s="81">
        <f>Données!$A425</f>
        <v>0</v>
      </c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65"/>
    </row>
    <row r="322" spans="1:15" s="64" customFormat="1" x14ac:dyDescent="0.25">
      <c r="A322" s="81">
        <f>Données!$A426</f>
        <v>0</v>
      </c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65"/>
    </row>
    <row r="323" spans="1:15" s="64" customFormat="1" x14ac:dyDescent="0.25">
      <c r="A323" s="81">
        <f>Données!$A427</f>
        <v>0</v>
      </c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65"/>
    </row>
    <row r="324" spans="1:15" s="64" customFormat="1" x14ac:dyDescent="0.25">
      <c r="A324" s="81">
        <f>Données!$A428</f>
        <v>0</v>
      </c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65"/>
    </row>
    <row r="325" spans="1:15" s="64" customFormat="1" x14ac:dyDescent="0.25">
      <c r="A325" s="81">
        <f>Données!$A429</f>
        <v>0</v>
      </c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65"/>
    </row>
    <row r="326" spans="1:15" s="64" customFormat="1" x14ac:dyDescent="0.25">
      <c r="A326" s="81">
        <f>Données!$A430</f>
        <v>0</v>
      </c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65"/>
    </row>
    <row r="327" spans="1:15" s="64" customFormat="1" x14ac:dyDescent="0.25">
      <c r="A327" s="81">
        <f>Données!$A431</f>
        <v>0</v>
      </c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65"/>
    </row>
    <row r="328" spans="1:15" s="64" customFormat="1" x14ac:dyDescent="0.25">
      <c r="A328" s="81">
        <f>Données!$A432</f>
        <v>0</v>
      </c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65"/>
    </row>
    <row r="329" spans="1:15" s="64" customFormat="1" x14ac:dyDescent="0.25">
      <c r="A329" s="81">
        <f>Données!$A433</f>
        <v>0</v>
      </c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65"/>
    </row>
    <row r="330" spans="1:15" s="64" customFormat="1" x14ac:dyDescent="0.25">
      <c r="A330" s="81">
        <f>Données!$A434</f>
        <v>0</v>
      </c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65"/>
    </row>
    <row r="331" spans="1:15" s="64" customFormat="1" x14ac:dyDescent="0.25">
      <c r="A331" s="81">
        <f>Données!$A435</f>
        <v>0</v>
      </c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65"/>
    </row>
    <row r="332" spans="1:15" s="64" customFormat="1" x14ac:dyDescent="0.25">
      <c r="A332" s="81">
        <f>Données!$A436</f>
        <v>0</v>
      </c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65"/>
    </row>
    <row r="333" spans="1:15" s="64" customFormat="1" x14ac:dyDescent="0.25">
      <c r="A333" s="81">
        <f>Données!$A437</f>
        <v>0</v>
      </c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65"/>
    </row>
    <row r="334" spans="1:15" s="64" customFormat="1" x14ac:dyDescent="0.25">
      <c r="A334" s="81">
        <f>Données!$A438</f>
        <v>0</v>
      </c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65"/>
    </row>
    <row r="335" spans="1:15" s="64" customFormat="1" x14ac:dyDescent="0.25">
      <c r="A335" s="81">
        <f>Données!$A439</f>
        <v>0</v>
      </c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65"/>
    </row>
    <row r="336" spans="1:15" s="64" customFormat="1" x14ac:dyDescent="0.25">
      <c r="A336" s="81">
        <f>Données!$A440</f>
        <v>0</v>
      </c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65"/>
    </row>
    <row r="337" spans="1:15" s="64" customFormat="1" x14ac:dyDescent="0.25">
      <c r="A337" s="81">
        <f>Données!$A441</f>
        <v>0</v>
      </c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65"/>
    </row>
    <row r="338" spans="1:15" s="64" customFormat="1" x14ac:dyDescent="0.25">
      <c r="A338" s="81">
        <f>Données!$A442</f>
        <v>0</v>
      </c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65"/>
    </row>
    <row r="339" spans="1:15" s="64" customFormat="1" x14ac:dyDescent="0.25">
      <c r="A339" s="81">
        <f>Données!$A443</f>
        <v>0</v>
      </c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65"/>
    </row>
    <row r="340" spans="1:15" s="64" customFormat="1" x14ac:dyDescent="0.25">
      <c r="A340" s="81">
        <f>Données!$A444</f>
        <v>0</v>
      </c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65"/>
    </row>
    <row r="341" spans="1:15" s="64" customFormat="1" x14ac:dyDescent="0.25">
      <c r="A341" s="81">
        <f>Données!$A445</f>
        <v>0</v>
      </c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65"/>
    </row>
    <row r="342" spans="1:15" s="64" customFormat="1" x14ac:dyDescent="0.25">
      <c r="A342" s="81">
        <f>Données!$A446</f>
        <v>0</v>
      </c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65"/>
    </row>
    <row r="343" spans="1:15" s="64" customFormat="1" x14ac:dyDescent="0.25">
      <c r="A343" s="81">
        <f>Données!$A447</f>
        <v>0</v>
      </c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65"/>
    </row>
    <row r="344" spans="1:15" s="64" customFormat="1" x14ac:dyDescent="0.25">
      <c r="A344" s="81">
        <f>Données!$A448</f>
        <v>0</v>
      </c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65"/>
    </row>
    <row r="345" spans="1:15" s="64" customFormat="1" x14ac:dyDescent="0.25">
      <c r="A345" s="81">
        <f>Données!$A449</f>
        <v>0</v>
      </c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65"/>
    </row>
    <row r="346" spans="1:15" s="64" customFormat="1" x14ac:dyDescent="0.25">
      <c r="A346" s="81">
        <f>Données!$A450</f>
        <v>0</v>
      </c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65"/>
    </row>
    <row r="347" spans="1:15" s="64" customFormat="1" x14ac:dyDescent="0.25">
      <c r="A347" s="81">
        <f>Données!$A451</f>
        <v>0</v>
      </c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65"/>
    </row>
    <row r="348" spans="1:15" s="64" customFormat="1" x14ac:dyDescent="0.25">
      <c r="A348" s="81">
        <f>Données!$A452</f>
        <v>0</v>
      </c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65"/>
    </row>
    <row r="349" spans="1:15" s="64" customFormat="1" x14ac:dyDescent="0.25">
      <c r="A349" s="81">
        <f>Données!$A453</f>
        <v>0</v>
      </c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65"/>
    </row>
    <row r="350" spans="1:15" s="64" customFormat="1" x14ac:dyDescent="0.25">
      <c r="A350" s="81">
        <f>Données!$A454</f>
        <v>0</v>
      </c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65"/>
    </row>
    <row r="351" spans="1:15" s="64" customFormat="1" x14ac:dyDescent="0.25">
      <c r="A351" s="81">
        <f>Données!$A455</f>
        <v>0</v>
      </c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65"/>
    </row>
    <row r="352" spans="1:15" s="64" customFormat="1" x14ac:dyDescent="0.25">
      <c r="A352" s="81">
        <f>Données!$A456</f>
        <v>0</v>
      </c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65"/>
    </row>
    <row r="353" spans="1:15" s="64" customFormat="1" x14ac:dyDescent="0.25">
      <c r="A353" s="81">
        <f>Données!$A457</f>
        <v>0</v>
      </c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65"/>
    </row>
    <row r="354" spans="1:15" s="64" customFormat="1" x14ac:dyDescent="0.25">
      <c r="A354" s="81">
        <f>Données!$A458</f>
        <v>0</v>
      </c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65"/>
    </row>
    <row r="355" spans="1:15" s="64" customFormat="1" x14ac:dyDescent="0.25">
      <c r="A355" s="81">
        <f>Données!$A459</f>
        <v>0</v>
      </c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65"/>
    </row>
    <row r="356" spans="1:15" s="64" customFormat="1" x14ac:dyDescent="0.25">
      <c r="A356" s="81">
        <f>Données!$A460</f>
        <v>0</v>
      </c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65"/>
    </row>
    <row r="357" spans="1:15" s="64" customFormat="1" x14ac:dyDescent="0.25">
      <c r="A357" s="81">
        <f>Données!$A461</f>
        <v>0</v>
      </c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65"/>
    </row>
    <row r="358" spans="1:15" s="64" customFormat="1" x14ac:dyDescent="0.25">
      <c r="A358" s="81">
        <f>Données!$A462</f>
        <v>0</v>
      </c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65"/>
    </row>
    <row r="359" spans="1:15" s="64" customFormat="1" x14ac:dyDescent="0.25">
      <c r="A359" s="81">
        <f>Données!$A463</f>
        <v>0</v>
      </c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65"/>
    </row>
    <row r="360" spans="1:15" s="64" customFormat="1" x14ac:dyDescent="0.25">
      <c r="A360" s="81">
        <f>Données!$A464</f>
        <v>0</v>
      </c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65"/>
    </row>
    <row r="361" spans="1:15" s="64" customFormat="1" x14ac:dyDescent="0.25">
      <c r="A361" s="81">
        <f>Données!$A465</f>
        <v>0</v>
      </c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65"/>
    </row>
    <row r="362" spans="1:15" s="64" customFormat="1" x14ac:dyDescent="0.25">
      <c r="A362" s="81">
        <f>Données!$A466</f>
        <v>0</v>
      </c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65"/>
    </row>
    <row r="363" spans="1:15" s="64" customFormat="1" x14ac:dyDescent="0.25">
      <c r="A363" s="81">
        <f>Données!$A467</f>
        <v>0</v>
      </c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65"/>
    </row>
    <row r="364" spans="1:15" s="64" customFormat="1" x14ac:dyDescent="0.25">
      <c r="A364" s="81">
        <f>Données!$A468</f>
        <v>0</v>
      </c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65"/>
    </row>
    <row r="365" spans="1:15" s="64" customFormat="1" x14ac:dyDescent="0.25">
      <c r="A365" s="81">
        <f>Données!$A469</f>
        <v>0</v>
      </c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65"/>
    </row>
    <row r="366" spans="1:15" s="64" customFormat="1" x14ac:dyDescent="0.25">
      <c r="A366" s="81">
        <f>Données!$A470</f>
        <v>0</v>
      </c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65"/>
    </row>
    <row r="367" spans="1:15" s="64" customFormat="1" x14ac:dyDescent="0.25">
      <c r="A367" s="81">
        <f>Données!$A471</f>
        <v>0</v>
      </c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65"/>
    </row>
    <row r="368" spans="1:15" s="64" customFormat="1" x14ac:dyDescent="0.25">
      <c r="A368" s="81">
        <f>Données!$A472</f>
        <v>0</v>
      </c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65"/>
    </row>
    <row r="369" spans="1:15" s="64" customFormat="1" x14ac:dyDescent="0.25">
      <c r="A369" s="81">
        <f>Données!$A473</f>
        <v>0</v>
      </c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65"/>
    </row>
    <row r="370" spans="1:15" s="64" customFormat="1" x14ac:dyDescent="0.25">
      <c r="A370" s="81">
        <f>Données!$A474</f>
        <v>0</v>
      </c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65"/>
    </row>
    <row r="371" spans="1:15" s="64" customFormat="1" x14ac:dyDescent="0.25">
      <c r="A371" s="81">
        <f>Données!$A475</f>
        <v>0</v>
      </c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65"/>
    </row>
    <row r="372" spans="1:15" s="64" customFormat="1" x14ac:dyDescent="0.25">
      <c r="A372" s="81">
        <f>Données!$A476</f>
        <v>0</v>
      </c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65"/>
    </row>
    <row r="373" spans="1:15" s="64" customFormat="1" x14ac:dyDescent="0.25">
      <c r="A373" s="81">
        <f>Données!$A477</f>
        <v>0</v>
      </c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65"/>
    </row>
    <row r="374" spans="1:15" s="64" customFormat="1" x14ac:dyDescent="0.25">
      <c r="A374" s="81">
        <f>Données!$A478</f>
        <v>0</v>
      </c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65"/>
    </row>
    <row r="375" spans="1:15" s="64" customFormat="1" x14ac:dyDescent="0.25">
      <c r="A375" s="81">
        <f>Données!$A479</f>
        <v>0</v>
      </c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65"/>
    </row>
    <row r="376" spans="1:15" s="64" customFormat="1" x14ac:dyDescent="0.25">
      <c r="A376" s="81">
        <f>Données!$A480</f>
        <v>0</v>
      </c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65"/>
    </row>
    <row r="377" spans="1:15" s="64" customFormat="1" x14ac:dyDescent="0.25">
      <c r="A377" s="81">
        <f>Données!$A481</f>
        <v>0</v>
      </c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65"/>
    </row>
    <row r="378" spans="1:15" s="64" customFormat="1" x14ac:dyDescent="0.25">
      <c r="A378" s="81">
        <f>Données!$A482</f>
        <v>0</v>
      </c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65"/>
    </row>
    <row r="379" spans="1:15" s="64" customFormat="1" x14ac:dyDescent="0.25">
      <c r="A379" s="81">
        <f>Données!$A483</f>
        <v>0</v>
      </c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65"/>
    </row>
    <row r="380" spans="1:15" s="64" customFormat="1" x14ac:dyDescent="0.25">
      <c r="A380" s="81">
        <f>Données!$A484</f>
        <v>0</v>
      </c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65"/>
    </row>
    <row r="381" spans="1:15" s="64" customFormat="1" x14ac:dyDescent="0.25">
      <c r="A381" s="81">
        <f>Données!$A485</f>
        <v>0</v>
      </c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65"/>
    </row>
    <row r="382" spans="1:15" s="64" customFormat="1" x14ac:dyDescent="0.25">
      <c r="A382" s="81">
        <f>Données!$A486</f>
        <v>0</v>
      </c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65"/>
    </row>
    <row r="383" spans="1:15" s="64" customFormat="1" x14ac:dyDescent="0.25">
      <c r="A383" s="81">
        <f>Données!$A487</f>
        <v>0</v>
      </c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65"/>
    </row>
    <row r="384" spans="1:15" s="64" customFormat="1" x14ac:dyDescent="0.25">
      <c r="A384" s="81">
        <f>Données!$A488</f>
        <v>0</v>
      </c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65"/>
    </row>
    <row r="385" spans="1:15" s="64" customFormat="1" x14ac:dyDescent="0.25">
      <c r="A385" s="81">
        <f>Données!$A489</f>
        <v>0</v>
      </c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65"/>
    </row>
    <row r="386" spans="1:15" s="64" customFormat="1" x14ac:dyDescent="0.25">
      <c r="A386" s="81">
        <f>Données!$A490</f>
        <v>0</v>
      </c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65"/>
    </row>
    <row r="387" spans="1:15" s="64" customFormat="1" x14ac:dyDescent="0.25">
      <c r="A387" s="81">
        <f>Données!$A491</f>
        <v>0</v>
      </c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65"/>
    </row>
    <row r="388" spans="1:15" s="64" customFormat="1" x14ac:dyDescent="0.25">
      <c r="A388" s="81">
        <f>Données!$A492</f>
        <v>0</v>
      </c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65"/>
    </row>
    <row r="389" spans="1:15" s="64" customFormat="1" x14ac:dyDescent="0.25">
      <c r="A389" s="81">
        <f>Données!$A493</f>
        <v>0</v>
      </c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65"/>
    </row>
    <row r="390" spans="1:15" s="64" customFormat="1" x14ac:dyDescent="0.25">
      <c r="A390" s="81">
        <f>Données!$A494</f>
        <v>0</v>
      </c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65"/>
    </row>
    <row r="391" spans="1:15" s="64" customFormat="1" x14ac:dyDescent="0.25">
      <c r="A391" s="81">
        <f>Données!$A495</f>
        <v>0</v>
      </c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65"/>
    </row>
    <row r="392" spans="1:15" s="64" customFormat="1" x14ac:dyDescent="0.25">
      <c r="A392" s="81">
        <f>Données!$A496</f>
        <v>0</v>
      </c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65"/>
    </row>
    <row r="393" spans="1:15" s="64" customFormat="1" x14ac:dyDescent="0.25">
      <c r="A393" s="81">
        <f>Données!$A497</f>
        <v>0</v>
      </c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65"/>
    </row>
    <row r="394" spans="1:15" s="64" customFormat="1" x14ac:dyDescent="0.25">
      <c r="A394" s="81">
        <f>Données!$A498</f>
        <v>0</v>
      </c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65"/>
    </row>
    <row r="395" spans="1:15" s="64" customFormat="1" x14ac:dyDescent="0.25">
      <c r="A395" s="81">
        <f>Données!$A499</f>
        <v>0</v>
      </c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65"/>
    </row>
    <row r="396" spans="1:15" s="64" customFormat="1" x14ac:dyDescent="0.25">
      <c r="A396" s="81">
        <f>Données!$A500</f>
        <v>0</v>
      </c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65"/>
    </row>
    <row r="397" spans="1:15" s="64" customFormat="1" x14ac:dyDescent="0.25">
      <c r="A397" s="81">
        <f>Données!$A501</f>
        <v>0</v>
      </c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65"/>
    </row>
    <row r="398" spans="1:15" s="64" customFormat="1" x14ac:dyDescent="0.25">
      <c r="A398" s="81">
        <f>Données!$A502</f>
        <v>0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65"/>
    </row>
    <row r="399" spans="1:15" s="64" customFormat="1" x14ac:dyDescent="0.25">
      <c r="A399" s="81">
        <f>Données!$A503</f>
        <v>0</v>
      </c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65"/>
    </row>
    <row r="400" spans="1:15" s="64" customFormat="1" x14ac:dyDescent="0.25">
      <c r="A400" s="81">
        <f>Données!$A504</f>
        <v>0</v>
      </c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65"/>
    </row>
    <row r="401" spans="1:15" s="64" customFormat="1" x14ac:dyDescent="0.25">
      <c r="A401" s="81">
        <f>Données!$A505</f>
        <v>0</v>
      </c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65"/>
    </row>
    <row r="402" spans="1:15" s="64" customFormat="1" x14ac:dyDescent="0.25">
      <c r="A402" s="81">
        <f>Données!$A506</f>
        <v>0</v>
      </c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65"/>
    </row>
    <row r="403" spans="1:15" s="64" customFormat="1" x14ac:dyDescent="0.25">
      <c r="A403" s="81">
        <f>Données!$A507</f>
        <v>0</v>
      </c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65"/>
    </row>
    <row r="404" spans="1:15" s="64" customFormat="1" x14ac:dyDescent="0.25">
      <c r="A404" s="81">
        <f>Données!$A508</f>
        <v>0</v>
      </c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65"/>
    </row>
    <row r="405" spans="1:15" s="64" customFormat="1" x14ac:dyDescent="0.25">
      <c r="A405" s="81">
        <f>Données!$A509</f>
        <v>0</v>
      </c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65"/>
    </row>
    <row r="406" spans="1:15" s="64" customFormat="1" x14ac:dyDescent="0.25">
      <c r="A406" s="81">
        <f>Données!$A510</f>
        <v>0</v>
      </c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65"/>
    </row>
    <row r="407" spans="1:15" s="64" customFormat="1" x14ac:dyDescent="0.25">
      <c r="A407" s="81">
        <f>Données!$A511</f>
        <v>0</v>
      </c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65"/>
    </row>
    <row r="408" spans="1:15" s="64" customFormat="1" x14ac:dyDescent="0.25">
      <c r="A408" s="81">
        <f>Données!$A512</f>
        <v>0</v>
      </c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65"/>
    </row>
    <row r="409" spans="1:15" s="64" customFormat="1" x14ac:dyDescent="0.25">
      <c r="A409" s="81">
        <f>Données!$A513</f>
        <v>0</v>
      </c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65"/>
    </row>
    <row r="410" spans="1:15" s="64" customFormat="1" x14ac:dyDescent="0.25">
      <c r="A410" s="81">
        <f>Données!$A514</f>
        <v>0</v>
      </c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65"/>
    </row>
    <row r="411" spans="1:15" s="64" customFormat="1" x14ac:dyDescent="0.25">
      <c r="A411" s="81">
        <f>Données!$A515</f>
        <v>0</v>
      </c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65"/>
    </row>
    <row r="412" spans="1:15" s="64" customFormat="1" x14ac:dyDescent="0.25">
      <c r="A412" s="81">
        <f>Données!$A516</f>
        <v>0</v>
      </c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65"/>
    </row>
    <row r="413" spans="1:15" s="64" customFormat="1" x14ac:dyDescent="0.25">
      <c r="A413" s="81">
        <f>Données!$A517</f>
        <v>0</v>
      </c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65"/>
    </row>
    <row r="414" spans="1:15" s="64" customFormat="1" x14ac:dyDescent="0.25">
      <c r="A414" s="81">
        <f>Données!$A518</f>
        <v>0</v>
      </c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65"/>
    </row>
    <row r="415" spans="1:15" s="64" customFormat="1" x14ac:dyDescent="0.25">
      <c r="A415" s="81">
        <f>Données!$A519</f>
        <v>0</v>
      </c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65"/>
    </row>
    <row r="416" spans="1:15" s="64" customFormat="1" x14ac:dyDescent="0.25">
      <c r="A416" s="81">
        <f>Données!$A520</f>
        <v>0</v>
      </c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65"/>
    </row>
    <row r="417" spans="1:15" s="64" customFormat="1" x14ac:dyDescent="0.25">
      <c r="A417" s="81">
        <f>Données!$A521</f>
        <v>0</v>
      </c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65"/>
    </row>
    <row r="418" spans="1:15" s="64" customFormat="1" x14ac:dyDescent="0.25">
      <c r="A418" s="81">
        <f>Données!$A522</f>
        <v>0</v>
      </c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65"/>
    </row>
    <row r="419" spans="1:15" s="64" customFormat="1" x14ac:dyDescent="0.25">
      <c r="A419" s="81">
        <f>Données!$A523</f>
        <v>0</v>
      </c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65"/>
    </row>
    <row r="420" spans="1:15" s="64" customFormat="1" x14ac:dyDescent="0.25">
      <c r="A420" s="81">
        <f>Données!$A524</f>
        <v>0</v>
      </c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65"/>
    </row>
    <row r="421" spans="1:15" s="64" customFormat="1" x14ac:dyDescent="0.25">
      <c r="A421" s="81">
        <f>Données!$A525</f>
        <v>0</v>
      </c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65"/>
    </row>
    <row r="422" spans="1:15" s="64" customFormat="1" x14ac:dyDescent="0.25">
      <c r="A422" s="81">
        <f>Données!$A526</f>
        <v>0</v>
      </c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65"/>
    </row>
    <row r="423" spans="1:15" s="64" customFormat="1" x14ac:dyDescent="0.25">
      <c r="A423" s="81">
        <f>Données!$A527</f>
        <v>0</v>
      </c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65"/>
    </row>
    <row r="424" spans="1:15" s="64" customFormat="1" x14ac:dyDescent="0.25">
      <c r="A424" s="81">
        <f>Données!$A528</f>
        <v>0</v>
      </c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65"/>
    </row>
    <row r="425" spans="1:15" s="64" customFormat="1" x14ac:dyDescent="0.25">
      <c r="A425" s="81">
        <f>Données!$A529</f>
        <v>0</v>
      </c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65"/>
    </row>
    <row r="426" spans="1:15" s="64" customFormat="1" x14ac:dyDescent="0.25">
      <c r="A426" s="81">
        <f>Données!$A530</f>
        <v>0</v>
      </c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65"/>
    </row>
    <row r="427" spans="1:15" s="64" customFormat="1" x14ac:dyDescent="0.25">
      <c r="A427" s="81">
        <f>Données!$A531</f>
        <v>0</v>
      </c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65"/>
    </row>
    <row r="428" spans="1:15" s="64" customFormat="1" x14ac:dyDescent="0.25">
      <c r="A428" s="81">
        <f>Données!$A532</f>
        <v>0</v>
      </c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65"/>
    </row>
    <row r="429" spans="1:15" s="64" customFormat="1" x14ac:dyDescent="0.25">
      <c r="A429" s="81">
        <f>Données!$A533</f>
        <v>0</v>
      </c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65"/>
    </row>
    <row r="430" spans="1:15" s="64" customFormat="1" x14ac:dyDescent="0.25">
      <c r="A430" s="81">
        <f>Données!$A534</f>
        <v>0</v>
      </c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65"/>
    </row>
    <row r="431" spans="1:15" s="64" customFormat="1" x14ac:dyDescent="0.25">
      <c r="A431" s="81">
        <f>Données!$A535</f>
        <v>0</v>
      </c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65"/>
    </row>
    <row r="432" spans="1:15" s="64" customFormat="1" x14ac:dyDescent="0.25">
      <c r="A432" s="81">
        <f>Données!$A536</f>
        <v>0</v>
      </c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65"/>
    </row>
    <row r="433" spans="1:15" s="64" customFormat="1" x14ac:dyDescent="0.25">
      <c r="A433" s="81">
        <f>Données!$A537</f>
        <v>0</v>
      </c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65"/>
    </row>
    <row r="434" spans="1:15" s="64" customFormat="1" x14ac:dyDescent="0.25">
      <c r="A434" s="81">
        <f>Données!$A538</f>
        <v>0</v>
      </c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65"/>
    </row>
    <row r="435" spans="1:15" s="64" customFormat="1" x14ac:dyDescent="0.25">
      <c r="A435" s="81">
        <f>Données!$A539</f>
        <v>0</v>
      </c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65"/>
    </row>
    <row r="436" spans="1:15" s="64" customFormat="1" x14ac:dyDescent="0.25">
      <c r="A436" s="81">
        <f>Données!$A540</f>
        <v>0</v>
      </c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65"/>
    </row>
    <row r="437" spans="1:15" s="64" customFormat="1" x14ac:dyDescent="0.25">
      <c r="A437" s="81">
        <f>Données!$A541</f>
        <v>0</v>
      </c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65"/>
    </row>
    <row r="438" spans="1:15" s="64" customFormat="1" x14ac:dyDescent="0.25">
      <c r="A438" s="81">
        <f>Données!$A542</f>
        <v>0</v>
      </c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65"/>
    </row>
    <row r="439" spans="1:15" s="64" customFormat="1" x14ac:dyDescent="0.25">
      <c r="A439" s="81">
        <f>Données!$A543</f>
        <v>0</v>
      </c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65"/>
    </row>
    <row r="440" spans="1:15" s="64" customFormat="1" x14ac:dyDescent="0.25">
      <c r="A440" s="81">
        <f>Données!$A544</f>
        <v>0</v>
      </c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65"/>
    </row>
    <row r="441" spans="1:15" s="64" customFormat="1" x14ac:dyDescent="0.25">
      <c r="A441" s="81">
        <f>Données!$A545</f>
        <v>0</v>
      </c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65"/>
    </row>
    <row r="442" spans="1:15" s="64" customFormat="1" x14ac:dyDescent="0.25">
      <c r="A442" s="81">
        <f>Données!$A546</f>
        <v>0</v>
      </c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65"/>
    </row>
    <row r="443" spans="1:15" s="64" customFormat="1" x14ac:dyDescent="0.25">
      <c r="A443" s="81">
        <f>Données!$A547</f>
        <v>0</v>
      </c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65"/>
    </row>
    <row r="444" spans="1:15" s="64" customFormat="1" x14ac:dyDescent="0.25">
      <c r="A444" s="81">
        <f>Données!$A548</f>
        <v>0</v>
      </c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65"/>
    </row>
    <row r="445" spans="1:15" s="64" customFormat="1" x14ac:dyDescent="0.25">
      <c r="A445" s="81">
        <f>Données!$A549</f>
        <v>0</v>
      </c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65"/>
    </row>
    <row r="446" spans="1:15" s="64" customFormat="1" x14ac:dyDescent="0.25">
      <c r="A446" s="81">
        <f>Données!$A550</f>
        <v>0</v>
      </c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65"/>
    </row>
    <row r="447" spans="1:15" s="64" customFormat="1" x14ac:dyDescent="0.25">
      <c r="A447" s="81">
        <f>Données!$A551</f>
        <v>0</v>
      </c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65"/>
    </row>
    <row r="448" spans="1:15" s="64" customFormat="1" x14ac:dyDescent="0.25">
      <c r="A448" s="81">
        <f>Données!$A552</f>
        <v>0</v>
      </c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65"/>
    </row>
    <row r="449" spans="1:15" s="64" customFormat="1" x14ac:dyDescent="0.25">
      <c r="A449" s="81">
        <f>Données!$A553</f>
        <v>0</v>
      </c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65"/>
    </row>
    <row r="450" spans="1:15" s="64" customFormat="1" x14ac:dyDescent="0.25">
      <c r="A450" s="81">
        <f>Données!$A554</f>
        <v>0</v>
      </c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65"/>
    </row>
    <row r="451" spans="1:15" s="64" customFormat="1" x14ac:dyDescent="0.25">
      <c r="A451" s="81">
        <f>Données!$A555</f>
        <v>0</v>
      </c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65"/>
    </row>
    <row r="452" spans="1:15" s="64" customFormat="1" x14ac:dyDescent="0.25">
      <c r="A452" s="81">
        <f>Données!$A556</f>
        <v>0</v>
      </c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65"/>
    </row>
    <row r="453" spans="1:15" s="64" customFormat="1" x14ac:dyDescent="0.25">
      <c r="A453" s="81">
        <f>Données!$A557</f>
        <v>0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65"/>
    </row>
    <row r="454" spans="1:15" s="64" customFormat="1" x14ac:dyDescent="0.25">
      <c r="A454" s="81">
        <f>Données!$A558</f>
        <v>0</v>
      </c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65"/>
    </row>
    <row r="455" spans="1:15" s="64" customFormat="1" x14ac:dyDescent="0.25">
      <c r="A455" s="81">
        <f>Données!$A559</f>
        <v>0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65"/>
    </row>
    <row r="456" spans="1:15" s="64" customFormat="1" x14ac:dyDescent="0.25">
      <c r="A456" s="81">
        <f>Données!$A560</f>
        <v>0</v>
      </c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65"/>
    </row>
    <row r="457" spans="1:15" s="64" customFormat="1" x14ac:dyDescent="0.25">
      <c r="A457" s="81">
        <f>Données!$A561</f>
        <v>0</v>
      </c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65"/>
    </row>
    <row r="458" spans="1:15" s="64" customFormat="1" x14ac:dyDescent="0.25">
      <c r="A458" s="81">
        <f>Données!$A562</f>
        <v>0</v>
      </c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65"/>
    </row>
    <row r="459" spans="1:15" s="64" customFormat="1" x14ac:dyDescent="0.25">
      <c r="A459" s="81">
        <f>Données!$A563</f>
        <v>0</v>
      </c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65"/>
    </row>
    <row r="460" spans="1:15" s="64" customFormat="1" x14ac:dyDescent="0.25">
      <c r="A460" s="81">
        <f>Données!$A564</f>
        <v>0</v>
      </c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65"/>
    </row>
    <row r="461" spans="1:15" s="64" customFormat="1" x14ac:dyDescent="0.25">
      <c r="A461" s="81">
        <f>Données!$A565</f>
        <v>0</v>
      </c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65"/>
    </row>
    <row r="462" spans="1:15" s="64" customFormat="1" x14ac:dyDescent="0.25">
      <c r="A462" s="81">
        <f>Données!$A566</f>
        <v>0</v>
      </c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65"/>
    </row>
    <row r="463" spans="1:15" s="64" customFormat="1" x14ac:dyDescent="0.25">
      <c r="A463" s="81">
        <f>Données!$A567</f>
        <v>0</v>
      </c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65"/>
    </row>
    <row r="464" spans="1:15" s="64" customFormat="1" x14ac:dyDescent="0.25">
      <c r="A464" s="81">
        <f>Données!$A568</f>
        <v>0</v>
      </c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65"/>
    </row>
    <row r="465" spans="1:15" s="64" customFormat="1" x14ac:dyDescent="0.25">
      <c r="A465" s="81">
        <f>Données!$A569</f>
        <v>0</v>
      </c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65"/>
    </row>
    <row r="466" spans="1:15" s="64" customFormat="1" x14ac:dyDescent="0.25">
      <c r="A466" s="81">
        <f>Données!$A570</f>
        <v>0</v>
      </c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65"/>
    </row>
    <row r="467" spans="1:15" s="64" customFormat="1" x14ac:dyDescent="0.25">
      <c r="A467" s="81">
        <f>Données!$A571</f>
        <v>0</v>
      </c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65"/>
    </row>
    <row r="468" spans="1:15" s="64" customFormat="1" x14ac:dyDescent="0.25">
      <c r="A468" s="81">
        <f>Données!$A572</f>
        <v>0</v>
      </c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65"/>
    </row>
    <row r="469" spans="1:15" s="64" customFormat="1" x14ac:dyDescent="0.25">
      <c r="A469" s="81">
        <f>Données!$A573</f>
        <v>0</v>
      </c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65"/>
    </row>
    <row r="470" spans="1:15" s="64" customFormat="1" x14ac:dyDescent="0.25">
      <c r="A470" s="81">
        <f>Données!$A574</f>
        <v>0</v>
      </c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65"/>
    </row>
    <row r="471" spans="1:15" s="64" customFormat="1" x14ac:dyDescent="0.25">
      <c r="A471" s="81">
        <f>Données!$A575</f>
        <v>0</v>
      </c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65"/>
    </row>
    <row r="472" spans="1:15" s="64" customFormat="1" x14ac:dyDescent="0.25">
      <c r="A472" s="81">
        <f>Données!$A576</f>
        <v>0</v>
      </c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65"/>
    </row>
    <row r="473" spans="1:15" s="64" customFormat="1" x14ac:dyDescent="0.25">
      <c r="A473" s="81">
        <f>Données!$A577</f>
        <v>0</v>
      </c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65"/>
    </row>
    <row r="474" spans="1:15" s="64" customFormat="1" x14ac:dyDescent="0.25">
      <c r="A474" s="81">
        <f>Données!$A578</f>
        <v>0</v>
      </c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65"/>
    </row>
    <row r="475" spans="1:15" s="64" customFormat="1" x14ac:dyDescent="0.25">
      <c r="A475" s="81">
        <f>Données!$A579</f>
        <v>0</v>
      </c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65"/>
    </row>
    <row r="476" spans="1:15" s="64" customFormat="1" x14ac:dyDescent="0.25">
      <c r="A476" s="81">
        <f>Données!$A580</f>
        <v>0</v>
      </c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65"/>
    </row>
    <row r="477" spans="1:15" s="64" customFormat="1" x14ac:dyDescent="0.25">
      <c r="A477" s="81">
        <f>Données!$A581</f>
        <v>0</v>
      </c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65"/>
    </row>
    <row r="478" spans="1:15" s="64" customFormat="1" x14ac:dyDescent="0.25">
      <c r="A478" s="81">
        <f>Données!$A582</f>
        <v>0</v>
      </c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65"/>
    </row>
    <row r="479" spans="1:15" s="64" customFormat="1" x14ac:dyDescent="0.25">
      <c r="A479" s="81">
        <f>Données!$A583</f>
        <v>0</v>
      </c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65"/>
    </row>
    <row r="480" spans="1:15" s="64" customFormat="1" x14ac:dyDescent="0.25">
      <c r="A480" s="81">
        <f>Données!$A584</f>
        <v>0</v>
      </c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65"/>
    </row>
    <row r="481" spans="1:15" s="64" customFormat="1" x14ac:dyDescent="0.25">
      <c r="A481" s="81">
        <f>Données!$A585</f>
        <v>0</v>
      </c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65"/>
    </row>
    <row r="482" spans="1:15" s="64" customFormat="1" x14ac:dyDescent="0.25">
      <c r="A482" s="81">
        <f>Données!$A586</f>
        <v>0</v>
      </c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65"/>
    </row>
    <row r="483" spans="1:15" s="64" customFormat="1" x14ac:dyDescent="0.25">
      <c r="A483" s="81">
        <f>Données!$A587</f>
        <v>0</v>
      </c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65"/>
    </row>
    <row r="484" spans="1:15" s="64" customFormat="1" x14ac:dyDescent="0.25">
      <c r="A484" s="81">
        <f>Données!$A588</f>
        <v>0</v>
      </c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65"/>
    </row>
    <row r="485" spans="1:15" s="64" customFormat="1" x14ac:dyDescent="0.25">
      <c r="A485" s="81">
        <f>Données!$A589</f>
        <v>0</v>
      </c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65"/>
    </row>
    <row r="486" spans="1:15" s="64" customFormat="1" x14ac:dyDescent="0.25">
      <c r="A486" s="81">
        <f>Données!$A590</f>
        <v>0</v>
      </c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65"/>
    </row>
    <row r="487" spans="1:15" s="64" customFormat="1" x14ac:dyDescent="0.25">
      <c r="A487" s="81">
        <f>Données!$A591</f>
        <v>0</v>
      </c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65"/>
    </row>
    <row r="488" spans="1:15" s="64" customFormat="1" x14ac:dyDescent="0.25">
      <c r="A488" s="81">
        <f>Données!$A592</f>
        <v>0</v>
      </c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65"/>
    </row>
    <row r="489" spans="1:15" s="64" customFormat="1" x14ac:dyDescent="0.25">
      <c r="A489" s="81">
        <f>Données!$A593</f>
        <v>0</v>
      </c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65"/>
    </row>
    <row r="490" spans="1:15" s="64" customFormat="1" x14ac:dyDescent="0.25">
      <c r="A490" s="81">
        <f>Données!$A594</f>
        <v>0</v>
      </c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65"/>
    </row>
    <row r="491" spans="1:15" s="64" customFormat="1" x14ac:dyDescent="0.25">
      <c r="A491" s="81">
        <f>Données!$A595</f>
        <v>0</v>
      </c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65"/>
    </row>
    <row r="492" spans="1:15" s="64" customFormat="1" x14ac:dyDescent="0.25">
      <c r="A492" s="81">
        <f>Données!$A596</f>
        <v>0</v>
      </c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65"/>
    </row>
    <row r="493" spans="1:15" s="64" customFormat="1" x14ac:dyDescent="0.25">
      <c r="A493" s="81">
        <f>Données!$A597</f>
        <v>0</v>
      </c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65"/>
    </row>
    <row r="494" spans="1:15" s="64" customFormat="1" x14ac:dyDescent="0.25">
      <c r="A494" s="81">
        <f>Données!$A598</f>
        <v>0</v>
      </c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65"/>
    </row>
    <row r="495" spans="1:15" s="64" customFormat="1" x14ac:dyDescent="0.25">
      <c r="A495" s="81">
        <f>Données!$A599</f>
        <v>0</v>
      </c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65"/>
    </row>
    <row r="496" spans="1:15" s="64" customFormat="1" x14ac:dyDescent="0.25">
      <c r="A496" s="81">
        <f>Données!$A600</f>
        <v>0</v>
      </c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65"/>
    </row>
    <row r="497" spans="1:15" s="64" customFormat="1" x14ac:dyDescent="0.25">
      <c r="A497" s="81">
        <f>Données!$A601</f>
        <v>0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65"/>
    </row>
    <row r="498" spans="1:15" s="64" customFormat="1" x14ac:dyDescent="0.25">
      <c r="A498" s="81">
        <f>Données!$A602</f>
        <v>0</v>
      </c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65"/>
    </row>
    <row r="499" spans="1:15" s="64" customFormat="1" x14ac:dyDescent="0.25">
      <c r="A499" s="81">
        <f>Données!$A603</f>
        <v>0</v>
      </c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65"/>
    </row>
    <row r="500" spans="1:15" s="64" customFormat="1" x14ac:dyDescent="0.25">
      <c r="A500" s="81">
        <f>Données!$A604</f>
        <v>0</v>
      </c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65"/>
    </row>
    <row r="501" spans="1:15" s="64" customFormat="1" x14ac:dyDescent="0.25">
      <c r="A501" s="81">
        <f>Données!$A605</f>
        <v>0</v>
      </c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65"/>
    </row>
    <row r="502" spans="1:15" s="64" customFormat="1" x14ac:dyDescent="0.25">
      <c r="A502" s="81">
        <f>Données!$A606</f>
        <v>0</v>
      </c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65"/>
    </row>
    <row r="503" spans="1:15" s="64" customFormat="1" x14ac:dyDescent="0.25">
      <c r="A503" s="81">
        <f>Données!$A607</f>
        <v>0</v>
      </c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65"/>
    </row>
    <row r="504" spans="1:15" s="64" customFormat="1" x14ac:dyDescent="0.25">
      <c r="A504" s="81">
        <f>Données!$A608</f>
        <v>0</v>
      </c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65"/>
    </row>
    <row r="505" spans="1:15" s="64" customFormat="1" x14ac:dyDescent="0.25">
      <c r="A505" s="81">
        <f>Données!$A609</f>
        <v>0</v>
      </c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65"/>
    </row>
    <row r="506" spans="1:15" s="64" customFormat="1" x14ac:dyDescent="0.25">
      <c r="A506" s="81">
        <f>Données!$A610</f>
        <v>0</v>
      </c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65"/>
    </row>
    <row r="507" spans="1:15" s="64" customFormat="1" x14ac:dyDescent="0.25">
      <c r="A507" s="81">
        <f>Données!$A611</f>
        <v>0</v>
      </c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65"/>
    </row>
    <row r="508" spans="1:15" s="64" customFormat="1" x14ac:dyDescent="0.25">
      <c r="A508" s="81">
        <f>Données!$A612</f>
        <v>0</v>
      </c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65"/>
    </row>
    <row r="509" spans="1:15" s="64" customFormat="1" x14ac:dyDescent="0.25">
      <c r="A509" s="81">
        <f>Données!$A613</f>
        <v>0</v>
      </c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65"/>
    </row>
    <row r="510" spans="1:15" s="64" customFormat="1" x14ac:dyDescent="0.25">
      <c r="A510" s="81">
        <f>Données!$A614</f>
        <v>0</v>
      </c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65"/>
    </row>
    <row r="511" spans="1:15" s="64" customFormat="1" x14ac:dyDescent="0.25">
      <c r="A511" s="81">
        <f>Données!$A615</f>
        <v>0</v>
      </c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65"/>
    </row>
    <row r="512" spans="1:15" s="64" customFormat="1" x14ac:dyDescent="0.25">
      <c r="A512" s="81">
        <f>Données!$A616</f>
        <v>0</v>
      </c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65"/>
    </row>
    <row r="513" spans="1:15" s="64" customFormat="1" x14ac:dyDescent="0.25">
      <c r="A513" s="81">
        <f>Données!$A617</f>
        <v>0</v>
      </c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65"/>
    </row>
    <row r="514" spans="1:15" s="64" customFormat="1" x14ac:dyDescent="0.25">
      <c r="A514" s="81">
        <f>Données!$A618</f>
        <v>0</v>
      </c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65"/>
    </row>
    <row r="515" spans="1:15" s="64" customFormat="1" x14ac:dyDescent="0.25">
      <c r="A515" s="81">
        <f>Données!$A619</f>
        <v>0</v>
      </c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65"/>
    </row>
    <row r="516" spans="1:15" s="64" customFormat="1" x14ac:dyDescent="0.25">
      <c r="A516" s="81">
        <f>Données!$A620</f>
        <v>0</v>
      </c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65"/>
    </row>
    <row r="517" spans="1:15" s="64" customFormat="1" x14ac:dyDescent="0.25">
      <c r="A517" s="81">
        <f>Données!$A621</f>
        <v>0</v>
      </c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65"/>
    </row>
    <row r="518" spans="1:15" s="64" customFormat="1" x14ac:dyDescent="0.25">
      <c r="A518" s="81">
        <f>Données!$A622</f>
        <v>0</v>
      </c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65"/>
    </row>
    <row r="519" spans="1:15" s="64" customFormat="1" x14ac:dyDescent="0.25">
      <c r="A519" s="81">
        <f>Données!$A623</f>
        <v>0</v>
      </c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65"/>
    </row>
    <row r="520" spans="1:15" s="64" customFormat="1" x14ac:dyDescent="0.25">
      <c r="A520" s="81">
        <f>Données!$A624</f>
        <v>0</v>
      </c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65"/>
    </row>
    <row r="521" spans="1:15" s="64" customFormat="1" x14ac:dyDescent="0.25">
      <c r="A521" s="81">
        <f>Données!$A625</f>
        <v>0</v>
      </c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65"/>
    </row>
    <row r="522" spans="1:15" s="64" customFormat="1" x14ac:dyDescent="0.25">
      <c r="A522" s="81">
        <f>Données!$A626</f>
        <v>0</v>
      </c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65"/>
    </row>
    <row r="523" spans="1:15" s="64" customFormat="1" x14ac:dyDescent="0.25">
      <c r="A523" s="81">
        <f>Données!$A627</f>
        <v>0</v>
      </c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65"/>
    </row>
    <row r="524" spans="1:15" s="64" customFormat="1" x14ac:dyDescent="0.25">
      <c r="A524" s="81">
        <f>Données!$A628</f>
        <v>0</v>
      </c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65"/>
    </row>
    <row r="525" spans="1:15" s="64" customFormat="1" x14ac:dyDescent="0.25">
      <c r="A525" s="81">
        <f>Données!$A629</f>
        <v>0</v>
      </c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65"/>
    </row>
    <row r="526" spans="1:15" s="64" customFormat="1" x14ac:dyDescent="0.25">
      <c r="A526" s="81">
        <f>Données!$A630</f>
        <v>0</v>
      </c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65"/>
    </row>
    <row r="527" spans="1:15" s="64" customFormat="1" x14ac:dyDescent="0.25">
      <c r="A527" s="81">
        <f>Données!$A631</f>
        <v>0</v>
      </c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65"/>
    </row>
    <row r="528" spans="1:15" s="64" customFormat="1" x14ac:dyDescent="0.25">
      <c r="A528" s="81">
        <f>Données!$A632</f>
        <v>0</v>
      </c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65"/>
    </row>
    <row r="529" spans="1:15" s="64" customFormat="1" x14ac:dyDescent="0.25">
      <c r="A529" s="81">
        <f>Données!$A633</f>
        <v>0</v>
      </c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65"/>
    </row>
    <row r="530" spans="1:15" s="64" customFormat="1" x14ac:dyDescent="0.25">
      <c r="A530" s="81">
        <f>Données!$A634</f>
        <v>0</v>
      </c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65"/>
    </row>
    <row r="531" spans="1:15" s="64" customFormat="1" x14ac:dyDescent="0.25">
      <c r="A531" s="81">
        <f>Données!$A635</f>
        <v>0</v>
      </c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65"/>
    </row>
    <row r="532" spans="1:15" s="64" customFormat="1" x14ac:dyDescent="0.25">
      <c r="A532" s="81">
        <f>Données!$A636</f>
        <v>0</v>
      </c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65"/>
    </row>
    <row r="533" spans="1:15" s="64" customFormat="1" x14ac:dyDescent="0.25">
      <c r="A533" s="81">
        <f>Données!$A637</f>
        <v>0</v>
      </c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65"/>
    </row>
    <row r="534" spans="1:15" s="64" customFormat="1" x14ac:dyDescent="0.25">
      <c r="A534" s="81">
        <f>Données!$A638</f>
        <v>0</v>
      </c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65"/>
    </row>
    <row r="535" spans="1:15" s="64" customFormat="1" x14ac:dyDescent="0.25">
      <c r="A535" s="81">
        <f>Données!$A639</f>
        <v>0</v>
      </c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65"/>
    </row>
    <row r="536" spans="1:15" s="64" customFormat="1" x14ac:dyDescent="0.25">
      <c r="A536" s="81">
        <f>Données!$A640</f>
        <v>0</v>
      </c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65"/>
    </row>
    <row r="537" spans="1:15" s="64" customFormat="1" x14ac:dyDescent="0.25">
      <c r="A537" s="81">
        <f>Données!$A641</f>
        <v>0</v>
      </c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65"/>
    </row>
    <row r="538" spans="1:15" s="64" customFormat="1" x14ac:dyDescent="0.25">
      <c r="A538" s="81">
        <f>Données!$A642</f>
        <v>0</v>
      </c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65"/>
    </row>
    <row r="539" spans="1:15" s="64" customFormat="1" x14ac:dyDescent="0.25">
      <c r="A539" s="81">
        <f>Données!$A643</f>
        <v>0</v>
      </c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65"/>
    </row>
    <row r="540" spans="1:15" s="64" customFormat="1" x14ac:dyDescent="0.25">
      <c r="A540" s="81">
        <f>Données!$A644</f>
        <v>0</v>
      </c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65"/>
    </row>
    <row r="541" spans="1:15" s="64" customFormat="1" x14ac:dyDescent="0.25">
      <c r="A541" s="81">
        <f>Données!$A645</f>
        <v>0</v>
      </c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65"/>
    </row>
    <row r="542" spans="1:15" s="64" customFormat="1" x14ac:dyDescent="0.25">
      <c r="A542" s="81">
        <f>Données!$A646</f>
        <v>0</v>
      </c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65"/>
    </row>
    <row r="543" spans="1:15" s="64" customFormat="1" x14ac:dyDescent="0.25">
      <c r="A543" s="81">
        <f>Données!$A647</f>
        <v>0</v>
      </c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65"/>
    </row>
    <row r="544" spans="1:15" s="64" customFormat="1" x14ac:dyDescent="0.25">
      <c r="A544" s="81">
        <f>Données!$A648</f>
        <v>0</v>
      </c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65"/>
    </row>
    <row r="545" spans="1:15" s="64" customFormat="1" x14ac:dyDescent="0.25">
      <c r="A545" s="81">
        <f>Données!$A649</f>
        <v>0</v>
      </c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65"/>
    </row>
    <row r="546" spans="1:15" s="64" customFormat="1" x14ac:dyDescent="0.25">
      <c r="A546" s="81">
        <f>Données!$A650</f>
        <v>0</v>
      </c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65"/>
    </row>
    <row r="547" spans="1:15" s="64" customFormat="1" x14ac:dyDescent="0.25">
      <c r="A547" s="81">
        <f>Données!$A651</f>
        <v>0</v>
      </c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65"/>
    </row>
    <row r="548" spans="1:15" s="64" customFormat="1" x14ac:dyDescent="0.25">
      <c r="A548" s="81">
        <f>Données!$A652</f>
        <v>0</v>
      </c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65"/>
    </row>
    <row r="549" spans="1:15" s="64" customFormat="1" x14ac:dyDescent="0.25">
      <c r="A549" s="81">
        <f>Données!$A653</f>
        <v>0</v>
      </c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65"/>
    </row>
    <row r="550" spans="1:15" s="64" customFormat="1" x14ac:dyDescent="0.25">
      <c r="A550" s="81">
        <f>Données!$A654</f>
        <v>0</v>
      </c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65"/>
    </row>
    <row r="551" spans="1:15" s="64" customFormat="1" x14ac:dyDescent="0.25">
      <c r="A551" s="81">
        <f>Données!$A655</f>
        <v>0</v>
      </c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65"/>
    </row>
    <row r="552" spans="1:15" s="64" customFormat="1" x14ac:dyDescent="0.25">
      <c r="A552" s="81">
        <f>Données!$A656</f>
        <v>0</v>
      </c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65"/>
    </row>
    <row r="553" spans="1:15" s="64" customFormat="1" x14ac:dyDescent="0.25">
      <c r="A553" s="81">
        <f>Données!$A657</f>
        <v>0</v>
      </c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65"/>
    </row>
    <row r="554" spans="1:15" s="64" customFormat="1" x14ac:dyDescent="0.25">
      <c r="A554" s="81">
        <f>Données!$A658</f>
        <v>0</v>
      </c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65"/>
    </row>
    <row r="555" spans="1:15" s="64" customFormat="1" x14ac:dyDescent="0.25">
      <c r="A555" s="81">
        <f>Données!$A659</f>
        <v>0</v>
      </c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65"/>
    </row>
    <row r="556" spans="1:15" s="64" customFormat="1" x14ac:dyDescent="0.25">
      <c r="A556" s="81">
        <f>Données!$A660</f>
        <v>0</v>
      </c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65"/>
    </row>
    <row r="557" spans="1:15" s="64" customFormat="1" x14ac:dyDescent="0.25">
      <c r="A557" s="81">
        <f>Données!$A661</f>
        <v>0</v>
      </c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65"/>
    </row>
    <row r="558" spans="1:15" s="64" customFormat="1" x14ac:dyDescent="0.25">
      <c r="A558" s="81">
        <f>Données!$A662</f>
        <v>0</v>
      </c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65"/>
    </row>
    <row r="559" spans="1:15" s="64" customFormat="1" x14ac:dyDescent="0.25">
      <c r="A559" s="81">
        <f>Données!$A663</f>
        <v>0</v>
      </c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65"/>
    </row>
    <row r="560" spans="1:15" s="64" customFormat="1" x14ac:dyDescent="0.25">
      <c r="A560" s="81">
        <f>Données!$A664</f>
        <v>0</v>
      </c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65"/>
    </row>
    <row r="561" spans="1:15" s="64" customFormat="1" x14ac:dyDescent="0.25">
      <c r="A561" s="81">
        <f>Données!$A665</f>
        <v>0</v>
      </c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65"/>
    </row>
    <row r="562" spans="1:15" s="64" customFormat="1" x14ac:dyDescent="0.25">
      <c r="A562" s="81">
        <f>Données!$A666</f>
        <v>0</v>
      </c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65"/>
    </row>
    <row r="563" spans="1:15" s="64" customFormat="1" x14ac:dyDescent="0.25">
      <c r="A563" s="81">
        <f>Données!$A667</f>
        <v>0</v>
      </c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65"/>
    </row>
    <row r="564" spans="1:15" s="64" customFormat="1" x14ac:dyDescent="0.25">
      <c r="A564" s="81">
        <f>Données!$A668</f>
        <v>0</v>
      </c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65"/>
    </row>
    <row r="565" spans="1:15" s="64" customFormat="1" x14ac:dyDescent="0.25">
      <c r="A565" s="81">
        <f>Données!$A669</f>
        <v>0</v>
      </c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65"/>
    </row>
    <row r="566" spans="1:15" s="64" customFormat="1" x14ac:dyDescent="0.25">
      <c r="A566" s="81">
        <f>Données!$A670</f>
        <v>0</v>
      </c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65"/>
    </row>
    <row r="567" spans="1:15" s="64" customFormat="1" x14ac:dyDescent="0.25">
      <c r="A567" s="81">
        <f>Données!$A671</f>
        <v>0</v>
      </c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65"/>
    </row>
    <row r="568" spans="1:15" s="64" customFormat="1" x14ac:dyDescent="0.25">
      <c r="A568" s="81">
        <f>Données!$A672</f>
        <v>0</v>
      </c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65"/>
    </row>
    <row r="569" spans="1:15" s="64" customFormat="1" x14ac:dyDescent="0.25">
      <c r="A569" s="81">
        <f>Données!$A673</f>
        <v>0</v>
      </c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65"/>
    </row>
    <row r="570" spans="1:15" s="64" customFormat="1" x14ac:dyDescent="0.25">
      <c r="A570" s="81">
        <f>Données!$A674</f>
        <v>0</v>
      </c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65"/>
    </row>
    <row r="571" spans="1:15" s="64" customFormat="1" x14ac:dyDescent="0.25">
      <c r="A571" s="81">
        <f>Données!$A675</f>
        <v>0</v>
      </c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65"/>
    </row>
    <row r="572" spans="1:15" s="64" customFormat="1" x14ac:dyDescent="0.25">
      <c r="A572" s="81">
        <f>Données!$A676</f>
        <v>0</v>
      </c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65"/>
    </row>
    <row r="573" spans="1:15" s="64" customFormat="1" x14ac:dyDescent="0.25">
      <c r="A573" s="81">
        <f>Données!$A677</f>
        <v>0</v>
      </c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65"/>
    </row>
    <row r="574" spans="1:15" s="64" customFormat="1" x14ac:dyDescent="0.25">
      <c r="A574" s="81">
        <f>Données!$A678</f>
        <v>0</v>
      </c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65"/>
    </row>
    <row r="575" spans="1:15" s="64" customFormat="1" x14ac:dyDescent="0.25">
      <c r="A575" s="81">
        <f>Données!$A679</f>
        <v>0</v>
      </c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65"/>
    </row>
    <row r="576" spans="1:15" s="64" customFormat="1" x14ac:dyDescent="0.25">
      <c r="A576" s="81">
        <f>Données!$A680</f>
        <v>0</v>
      </c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65"/>
    </row>
    <row r="577" spans="1:15" s="64" customFormat="1" x14ac:dyDescent="0.25">
      <c r="A577" s="81">
        <f>Données!$A681</f>
        <v>0</v>
      </c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65"/>
    </row>
    <row r="578" spans="1:15" s="64" customFormat="1" x14ac:dyDescent="0.25">
      <c r="A578" s="81">
        <f>Données!$A682</f>
        <v>0</v>
      </c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65"/>
    </row>
    <row r="579" spans="1:15" s="64" customFormat="1" x14ac:dyDescent="0.25">
      <c r="A579" s="81">
        <f>Données!$A683</f>
        <v>0</v>
      </c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65"/>
    </row>
    <row r="580" spans="1:15" s="64" customFormat="1" x14ac:dyDescent="0.25">
      <c r="A580" s="81">
        <f>Données!$A684</f>
        <v>0</v>
      </c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65"/>
    </row>
    <row r="581" spans="1:15" s="64" customFormat="1" x14ac:dyDescent="0.25">
      <c r="A581" s="81">
        <f>Données!$A685</f>
        <v>0</v>
      </c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65"/>
    </row>
    <row r="582" spans="1:15" s="64" customFormat="1" x14ac:dyDescent="0.25">
      <c r="A582" s="81">
        <f>Données!$A686</f>
        <v>0</v>
      </c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65"/>
    </row>
    <row r="583" spans="1:15" s="64" customFormat="1" x14ac:dyDescent="0.25">
      <c r="A583" s="81">
        <f>Données!$A687</f>
        <v>0</v>
      </c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65"/>
    </row>
    <row r="584" spans="1:15" s="64" customFormat="1" x14ac:dyDescent="0.25">
      <c r="A584" s="81">
        <f>Données!$A688</f>
        <v>0</v>
      </c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65"/>
    </row>
    <row r="585" spans="1:15" s="64" customFormat="1" x14ac:dyDescent="0.25">
      <c r="A585" s="81">
        <f>Données!$A689</f>
        <v>0</v>
      </c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65"/>
    </row>
    <row r="586" spans="1:15" s="64" customFormat="1" x14ac:dyDescent="0.25">
      <c r="A586" s="81">
        <f>Données!$A690</f>
        <v>0</v>
      </c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65"/>
    </row>
    <row r="587" spans="1:15" s="64" customFormat="1" x14ac:dyDescent="0.25">
      <c r="A587" s="81">
        <f>Données!$A691</f>
        <v>0</v>
      </c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65"/>
    </row>
    <row r="588" spans="1:15" s="64" customFormat="1" x14ac:dyDescent="0.25">
      <c r="A588" s="81">
        <f>Données!$A692</f>
        <v>0</v>
      </c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65"/>
    </row>
    <row r="589" spans="1:15" s="64" customFormat="1" x14ac:dyDescent="0.25">
      <c r="A589" s="81">
        <f>Données!$A693</f>
        <v>0</v>
      </c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65"/>
    </row>
    <row r="590" spans="1:15" s="64" customFormat="1" x14ac:dyDescent="0.25">
      <c r="A590" s="81">
        <f>Données!$A694</f>
        <v>0</v>
      </c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65"/>
    </row>
    <row r="591" spans="1:15" s="64" customFormat="1" x14ac:dyDescent="0.25">
      <c r="A591" s="81">
        <f>Données!$A695</f>
        <v>0</v>
      </c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65"/>
    </row>
    <row r="592" spans="1:15" s="64" customFormat="1" x14ac:dyDescent="0.25">
      <c r="A592" s="81">
        <f>Données!$A696</f>
        <v>0</v>
      </c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65"/>
    </row>
    <row r="593" spans="1:15" s="64" customFormat="1" x14ac:dyDescent="0.25">
      <c r="A593" s="81">
        <f>Données!$A697</f>
        <v>0</v>
      </c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65"/>
    </row>
    <row r="594" spans="1:15" s="64" customFormat="1" x14ac:dyDescent="0.25">
      <c r="A594" s="81">
        <f>Données!$A698</f>
        <v>0</v>
      </c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65"/>
    </row>
    <row r="595" spans="1:15" s="64" customFormat="1" x14ac:dyDescent="0.25">
      <c r="A595" s="81">
        <f>Données!$A699</f>
        <v>0</v>
      </c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65"/>
    </row>
    <row r="596" spans="1:15" s="64" customFormat="1" x14ac:dyDescent="0.25">
      <c r="A596" s="81">
        <f>Données!$A700</f>
        <v>0</v>
      </c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65"/>
    </row>
    <row r="597" spans="1:15" s="64" customFormat="1" x14ac:dyDescent="0.25">
      <c r="A597" s="81">
        <f>Données!$A701</f>
        <v>0</v>
      </c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65"/>
    </row>
    <row r="598" spans="1:15" s="64" customFormat="1" x14ac:dyDescent="0.25">
      <c r="A598" s="81">
        <f>Données!$A702</f>
        <v>0</v>
      </c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65"/>
    </row>
    <row r="599" spans="1:15" s="64" customFormat="1" x14ac:dyDescent="0.25">
      <c r="A599" s="81">
        <f>Données!$A703</f>
        <v>0</v>
      </c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65"/>
    </row>
    <row r="600" spans="1:15" s="64" customFormat="1" x14ac:dyDescent="0.25">
      <c r="A600" s="81">
        <f>Données!$A704</f>
        <v>0</v>
      </c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65"/>
    </row>
    <row r="601" spans="1:15" s="64" customFormat="1" x14ac:dyDescent="0.25">
      <c r="A601" s="81">
        <f>Données!$A705</f>
        <v>0</v>
      </c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65"/>
    </row>
    <row r="602" spans="1:15" s="64" customFormat="1" x14ac:dyDescent="0.25">
      <c r="A602" s="81">
        <f>Données!$A706</f>
        <v>0</v>
      </c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65"/>
    </row>
    <row r="603" spans="1:15" s="64" customFormat="1" x14ac:dyDescent="0.25">
      <c r="A603" s="81">
        <f>Données!$A707</f>
        <v>0</v>
      </c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65"/>
    </row>
    <row r="604" spans="1:15" s="64" customFormat="1" x14ac:dyDescent="0.25">
      <c r="A604" s="81">
        <f>Données!$A708</f>
        <v>0</v>
      </c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65"/>
    </row>
    <row r="605" spans="1:15" s="64" customFormat="1" x14ac:dyDescent="0.25">
      <c r="A605" s="81">
        <f>Données!$A709</f>
        <v>0</v>
      </c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65"/>
    </row>
    <row r="606" spans="1:15" s="64" customFormat="1" x14ac:dyDescent="0.25">
      <c r="A606" s="81">
        <f>Données!$A710</f>
        <v>0</v>
      </c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65"/>
    </row>
    <row r="607" spans="1:15" s="64" customFormat="1" x14ac:dyDescent="0.25">
      <c r="A607" s="81">
        <f>Données!$A711</f>
        <v>0</v>
      </c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65"/>
    </row>
    <row r="608" spans="1:15" s="64" customFormat="1" x14ac:dyDescent="0.25">
      <c r="A608" s="81">
        <f>Données!$A712</f>
        <v>0</v>
      </c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65"/>
    </row>
    <row r="609" spans="1:15" s="64" customFormat="1" x14ac:dyDescent="0.25">
      <c r="A609" s="81">
        <f>Données!$A713</f>
        <v>0</v>
      </c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65"/>
    </row>
    <row r="610" spans="1:15" s="64" customFormat="1" x14ac:dyDescent="0.25">
      <c r="A610" s="81">
        <f>Données!$A714</f>
        <v>0</v>
      </c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65"/>
    </row>
    <row r="611" spans="1:15" s="64" customFormat="1" x14ac:dyDescent="0.25">
      <c r="A611" s="81">
        <f>Données!$A715</f>
        <v>0</v>
      </c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65"/>
    </row>
    <row r="612" spans="1:15" s="64" customFormat="1" x14ac:dyDescent="0.25">
      <c r="A612" s="81">
        <f>Données!$A716</f>
        <v>0</v>
      </c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65"/>
    </row>
    <row r="613" spans="1:15" s="64" customFormat="1" x14ac:dyDescent="0.25">
      <c r="A613" s="81">
        <f>Données!$A717</f>
        <v>0</v>
      </c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65"/>
    </row>
    <row r="614" spans="1:15" s="64" customFormat="1" x14ac:dyDescent="0.25">
      <c r="A614" s="81">
        <f>Données!$A718</f>
        <v>0</v>
      </c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65"/>
    </row>
    <row r="615" spans="1:15" s="64" customFormat="1" x14ac:dyDescent="0.25">
      <c r="A615" s="81">
        <f>Données!$A719</f>
        <v>0</v>
      </c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65"/>
    </row>
    <row r="616" spans="1:15" s="64" customFormat="1" x14ac:dyDescent="0.25">
      <c r="A616" s="81">
        <f>Données!$A720</f>
        <v>0</v>
      </c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65"/>
    </row>
    <row r="617" spans="1:15" s="64" customFormat="1" x14ac:dyDescent="0.25">
      <c r="A617" s="81">
        <f>Données!$A721</f>
        <v>0</v>
      </c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65"/>
    </row>
    <row r="618" spans="1:15" s="64" customFormat="1" x14ac:dyDescent="0.25">
      <c r="A618" s="81">
        <f>Données!$A722</f>
        <v>0</v>
      </c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65"/>
    </row>
    <row r="619" spans="1:15" s="64" customFormat="1" x14ac:dyDescent="0.25">
      <c r="A619" s="81">
        <f>Données!$A723</f>
        <v>0</v>
      </c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65"/>
    </row>
    <row r="620" spans="1:15" s="64" customFormat="1" x14ac:dyDescent="0.25">
      <c r="A620" s="81">
        <f>Données!$A724</f>
        <v>0</v>
      </c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65"/>
    </row>
    <row r="621" spans="1:15" s="64" customFormat="1" x14ac:dyDescent="0.25">
      <c r="A621" s="81">
        <f>Données!$A725</f>
        <v>0</v>
      </c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65"/>
    </row>
    <row r="622" spans="1:15" s="64" customFormat="1" x14ac:dyDescent="0.25">
      <c r="A622" s="81">
        <f>Données!$A726</f>
        <v>0</v>
      </c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65"/>
    </row>
    <row r="623" spans="1:15" s="64" customFormat="1" x14ac:dyDescent="0.25">
      <c r="A623" s="81">
        <f>Données!$A727</f>
        <v>0</v>
      </c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65"/>
    </row>
    <row r="624" spans="1:15" s="64" customFormat="1" x14ac:dyDescent="0.25">
      <c r="A624" s="81">
        <f>Données!$A728</f>
        <v>0</v>
      </c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65"/>
    </row>
    <row r="625" spans="1:15" s="64" customFormat="1" x14ac:dyDescent="0.25">
      <c r="A625" s="81">
        <f>Données!$A729</f>
        <v>0</v>
      </c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65"/>
    </row>
    <row r="626" spans="1:15" s="64" customFormat="1" x14ac:dyDescent="0.25">
      <c r="A626" s="81">
        <f>Données!$A730</f>
        <v>0</v>
      </c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65"/>
    </row>
    <row r="627" spans="1:15" s="64" customFormat="1" x14ac:dyDescent="0.25">
      <c r="A627" s="81">
        <f>Données!$A731</f>
        <v>0</v>
      </c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65"/>
    </row>
    <row r="628" spans="1:15" s="64" customFormat="1" x14ac:dyDescent="0.25">
      <c r="A628" s="81">
        <f>Données!$A732</f>
        <v>0</v>
      </c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65"/>
    </row>
    <row r="629" spans="1:15" s="64" customFormat="1" x14ac:dyDescent="0.25">
      <c r="A629" s="81">
        <f>Données!$A733</f>
        <v>0</v>
      </c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65"/>
    </row>
    <row r="630" spans="1:15" s="64" customFormat="1" x14ac:dyDescent="0.25">
      <c r="A630" s="81">
        <f>Données!$A734</f>
        <v>0</v>
      </c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65"/>
    </row>
    <row r="631" spans="1:15" s="64" customFormat="1" x14ac:dyDescent="0.25">
      <c r="A631" s="81">
        <f>Données!$A735</f>
        <v>0</v>
      </c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65"/>
    </row>
    <row r="632" spans="1:15" s="64" customFormat="1" x14ac:dyDescent="0.25">
      <c r="A632" s="81">
        <f>Données!$A736</f>
        <v>0</v>
      </c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65"/>
    </row>
    <row r="633" spans="1:15" s="64" customFormat="1" x14ac:dyDescent="0.25">
      <c r="A633" s="81">
        <f>Données!$A737</f>
        <v>0</v>
      </c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65"/>
    </row>
    <row r="634" spans="1:15" s="64" customFormat="1" x14ac:dyDescent="0.25">
      <c r="A634" s="81">
        <f>Données!$A738</f>
        <v>0</v>
      </c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65"/>
    </row>
    <row r="635" spans="1:15" s="64" customFormat="1" x14ac:dyDescent="0.25">
      <c r="A635" s="81">
        <f>Données!$A739</f>
        <v>0</v>
      </c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65"/>
    </row>
    <row r="636" spans="1:15" s="64" customFormat="1" x14ac:dyDescent="0.25">
      <c r="A636" s="81">
        <f>Données!$A740</f>
        <v>0</v>
      </c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65"/>
    </row>
    <row r="637" spans="1:15" s="64" customFormat="1" x14ac:dyDescent="0.25">
      <c r="A637" s="81">
        <f>Données!$A741</f>
        <v>0</v>
      </c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65"/>
    </row>
    <row r="638" spans="1:15" s="64" customFormat="1" x14ac:dyDescent="0.25">
      <c r="A638" s="81">
        <f>Données!$A742</f>
        <v>0</v>
      </c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65"/>
    </row>
    <row r="639" spans="1:15" s="64" customFormat="1" x14ac:dyDescent="0.25">
      <c r="A639" s="81">
        <f>Données!$A743</f>
        <v>0</v>
      </c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65"/>
    </row>
    <row r="640" spans="1:15" s="64" customFormat="1" x14ac:dyDescent="0.25">
      <c r="A640" s="81">
        <f>Données!$A744</f>
        <v>0</v>
      </c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65"/>
    </row>
    <row r="641" spans="1:15" s="64" customFormat="1" x14ac:dyDescent="0.25">
      <c r="A641" s="81">
        <f>Données!$A745</f>
        <v>0</v>
      </c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65"/>
    </row>
    <row r="642" spans="1:15" s="64" customFormat="1" x14ac:dyDescent="0.25">
      <c r="A642" s="81">
        <f>Données!$A746</f>
        <v>0</v>
      </c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65"/>
    </row>
    <row r="643" spans="1:15" s="64" customFormat="1" x14ac:dyDescent="0.25">
      <c r="A643" s="81">
        <f>Données!$A747</f>
        <v>0</v>
      </c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65"/>
    </row>
    <row r="644" spans="1:15" s="64" customFormat="1" x14ac:dyDescent="0.25">
      <c r="A644" s="81">
        <f>Données!$A748</f>
        <v>0</v>
      </c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65"/>
    </row>
    <row r="645" spans="1:15" s="64" customFormat="1" x14ac:dyDescent="0.25">
      <c r="A645" s="81">
        <f>Données!$A749</f>
        <v>0</v>
      </c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65"/>
    </row>
    <row r="646" spans="1:15" s="64" customFormat="1" x14ac:dyDescent="0.25">
      <c r="A646" s="81">
        <f>Données!$A750</f>
        <v>0</v>
      </c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65"/>
    </row>
    <row r="647" spans="1:15" s="64" customFormat="1" x14ac:dyDescent="0.25">
      <c r="A647" s="81">
        <f>Données!$A751</f>
        <v>0</v>
      </c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65"/>
    </row>
    <row r="648" spans="1:15" s="64" customFormat="1" x14ac:dyDescent="0.25">
      <c r="A648" s="81">
        <f>Données!$A752</f>
        <v>0</v>
      </c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65"/>
    </row>
    <row r="649" spans="1:15" s="64" customFormat="1" x14ac:dyDescent="0.25">
      <c r="A649" s="81">
        <f>Données!$A753</f>
        <v>0</v>
      </c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65"/>
    </row>
    <row r="650" spans="1:15" s="64" customFormat="1" x14ac:dyDescent="0.25">
      <c r="A650" s="81">
        <f>Données!$A754</f>
        <v>0</v>
      </c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65"/>
    </row>
    <row r="651" spans="1:15" s="64" customFormat="1" x14ac:dyDescent="0.25">
      <c r="A651" s="81">
        <f>Données!$A755</f>
        <v>0</v>
      </c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65"/>
    </row>
    <row r="652" spans="1:15" s="64" customFormat="1" x14ac:dyDescent="0.25">
      <c r="A652" s="81">
        <f>Données!$A756</f>
        <v>0</v>
      </c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65"/>
    </row>
    <row r="653" spans="1:15" s="64" customFormat="1" x14ac:dyDescent="0.25">
      <c r="A653" s="81">
        <f>Données!$A757</f>
        <v>0</v>
      </c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65"/>
    </row>
    <row r="654" spans="1:15" s="64" customFormat="1" x14ac:dyDescent="0.25">
      <c r="A654" s="81">
        <f>Données!$A758</f>
        <v>0</v>
      </c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65"/>
    </row>
    <row r="655" spans="1:15" s="64" customFormat="1" x14ac:dyDescent="0.25">
      <c r="A655" s="81">
        <f>Données!$A759</f>
        <v>0</v>
      </c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65"/>
    </row>
    <row r="656" spans="1:15" s="64" customFormat="1" x14ac:dyDescent="0.25">
      <c r="A656" s="81">
        <f>Données!$A760</f>
        <v>0</v>
      </c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65"/>
    </row>
    <row r="657" spans="1:15" s="64" customFormat="1" x14ac:dyDescent="0.25">
      <c r="A657" s="81">
        <f>Données!$A761</f>
        <v>0</v>
      </c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65"/>
    </row>
    <row r="658" spans="1:15" s="64" customFormat="1" x14ac:dyDescent="0.25">
      <c r="A658" s="81">
        <f>Données!$A762</f>
        <v>0</v>
      </c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65"/>
    </row>
    <row r="659" spans="1:15" s="64" customFormat="1" x14ac:dyDescent="0.25">
      <c r="A659" s="81">
        <f>Données!$A763</f>
        <v>0</v>
      </c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65"/>
    </row>
    <row r="660" spans="1:15" s="64" customFormat="1" x14ac:dyDescent="0.25">
      <c r="A660" s="81">
        <f>Données!$A764</f>
        <v>0</v>
      </c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65"/>
    </row>
    <row r="661" spans="1:15" s="64" customFormat="1" x14ac:dyDescent="0.25">
      <c r="A661" s="81">
        <f>Données!$A765</f>
        <v>0</v>
      </c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65"/>
    </row>
    <row r="662" spans="1:15" s="64" customFormat="1" x14ac:dyDescent="0.25">
      <c r="A662" s="81">
        <f>Données!$A766</f>
        <v>0</v>
      </c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65"/>
    </row>
    <row r="663" spans="1:15" s="64" customFormat="1" x14ac:dyDescent="0.25">
      <c r="A663" s="81">
        <f>Données!$A767</f>
        <v>0</v>
      </c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65"/>
    </row>
    <row r="664" spans="1:15" s="64" customFormat="1" x14ac:dyDescent="0.25">
      <c r="A664" s="81">
        <f>Données!$A768</f>
        <v>0</v>
      </c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65"/>
    </row>
    <row r="665" spans="1:15" s="64" customFormat="1" x14ac:dyDescent="0.25">
      <c r="A665" s="81">
        <f>Données!$A769</f>
        <v>0</v>
      </c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65"/>
    </row>
    <row r="666" spans="1:15" s="64" customFormat="1" x14ac:dyDescent="0.25">
      <c r="A666" s="81">
        <f>Données!$A770</f>
        <v>0</v>
      </c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65"/>
    </row>
    <row r="667" spans="1:15" s="64" customFormat="1" x14ac:dyDescent="0.25">
      <c r="A667" s="81">
        <f>Données!$A771</f>
        <v>0</v>
      </c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65"/>
    </row>
    <row r="668" spans="1:15" s="64" customFormat="1" x14ac:dyDescent="0.25">
      <c r="A668" s="81">
        <f>Données!$A772</f>
        <v>0</v>
      </c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65"/>
    </row>
    <row r="669" spans="1:15" s="64" customFormat="1" x14ac:dyDescent="0.25">
      <c r="A669" s="81">
        <f>Données!$A773</f>
        <v>0</v>
      </c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65"/>
    </row>
    <row r="670" spans="1:15" s="64" customFormat="1" x14ac:dyDescent="0.25">
      <c r="A670" s="81">
        <f>Données!$A774</f>
        <v>0</v>
      </c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65"/>
    </row>
    <row r="671" spans="1:15" s="64" customFormat="1" x14ac:dyDescent="0.25">
      <c r="A671" s="81">
        <f>Données!$A775</f>
        <v>0</v>
      </c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65"/>
    </row>
    <row r="672" spans="1:15" s="64" customFormat="1" x14ac:dyDescent="0.25">
      <c r="A672" s="81">
        <f>Données!$A776</f>
        <v>0</v>
      </c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65"/>
    </row>
    <row r="673" spans="1:15" s="64" customFormat="1" x14ac:dyDescent="0.25">
      <c r="A673" s="81">
        <f>Données!$A777</f>
        <v>0</v>
      </c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65"/>
    </row>
    <row r="674" spans="1:15" s="64" customFormat="1" x14ac:dyDescent="0.25">
      <c r="A674" s="81">
        <f>Données!$A778</f>
        <v>0</v>
      </c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65"/>
    </row>
    <row r="675" spans="1:15" s="64" customFormat="1" x14ac:dyDescent="0.25">
      <c r="A675" s="81">
        <f>Données!$A779</f>
        <v>0</v>
      </c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65"/>
    </row>
    <row r="676" spans="1:15" s="64" customFormat="1" x14ac:dyDescent="0.25">
      <c r="A676" s="81">
        <f>Données!$A780</f>
        <v>0</v>
      </c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65"/>
    </row>
    <row r="677" spans="1:15" s="64" customFormat="1" x14ac:dyDescent="0.25">
      <c r="A677" s="81">
        <f>Données!$A781</f>
        <v>0</v>
      </c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65"/>
    </row>
    <row r="678" spans="1:15" s="64" customFormat="1" x14ac:dyDescent="0.25">
      <c r="A678" s="81">
        <f>Données!$A782</f>
        <v>0</v>
      </c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65"/>
    </row>
    <row r="679" spans="1:15" s="64" customFormat="1" x14ac:dyDescent="0.25">
      <c r="A679" s="81">
        <f>Données!$A783</f>
        <v>0</v>
      </c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65"/>
    </row>
    <row r="680" spans="1:15" s="64" customFormat="1" x14ac:dyDescent="0.25">
      <c r="A680" s="81">
        <f>Données!$A784</f>
        <v>0</v>
      </c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65"/>
    </row>
    <row r="681" spans="1:15" s="64" customFormat="1" x14ac:dyDescent="0.25">
      <c r="A681" s="81">
        <f>Données!$A785</f>
        <v>0</v>
      </c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65"/>
    </row>
    <row r="682" spans="1:15" s="64" customFormat="1" x14ac:dyDescent="0.25">
      <c r="A682" s="81">
        <f>Données!$A786</f>
        <v>0</v>
      </c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65"/>
    </row>
    <row r="683" spans="1:15" s="64" customFormat="1" x14ac:dyDescent="0.25">
      <c r="A683" s="81">
        <f>Données!$A787</f>
        <v>0</v>
      </c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65"/>
    </row>
    <row r="684" spans="1:15" s="64" customFormat="1" x14ac:dyDescent="0.25">
      <c r="A684" s="81">
        <f>Données!$A788</f>
        <v>0</v>
      </c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65"/>
    </row>
    <row r="685" spans="1:15" s="64" customFormat="1" x14ac:dyDescent="0.25">
      <c r="A685" s="81">
        <f>Données!$A789</f>
        <v>0</v>
      </c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65"/>
    </row>
    <row r="686" spans="1:15" s="64" customFormat="1" x14ac:dyDescent="0.25">
      <c r="A686" s="81">
        <f>Données!$A790</f>
        <v>0</v>
      </c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65"/>
    </row>
    <row r="687" spans="1:15" s="64" customFormat="1" x14ac:dyDescent="0.25">
      <c r="A687" s="81">
        <f>Données!$A791</f>
        <v>0</v>
      </c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65"/>
    </row>
    <row r="688" spans="1:15" s="64" customFormat="1" x14ac:dyDescent="0.25">
      <c r="A688" s="81">
        <f>Données!$A792</f>
        <v>0</v>
      </c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65"/>
    </row>
    <row r="689" spans="1:15" s="64" customFormat="1" x14ac:dyDescent="0.25">
      <c r="A689" s="81">
        <f>Données!$A793</f>
        <v>0</v>
      </c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65"/>
    </row>
    <row r="690" spans="1:15" s="64" customFormat="1" x14ac:dyDescent="0.25">
      <c r="A690" s="81">
        <f>Données!$A794</f>
        <v>0</v>
      </c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65"/>
    </row>
    <row r="691" spans="1:15" s="64" customFormat="1" x14ac:dyDescent="0.25">
      <c r="A691" s="81">
        <f>Données!$A795</f>
        <v>0</v>
      </c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65"/>
    </row>
    <row r="692" spans="1:15" s="64" customFormat="1" x14ac:dyDescent="0.25">
      <c r="A692" s="81">
        <f>Données!$A796</f>
        <v>0</v>
      </c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65"/>
    </row>
    <row r="693" spans="1:15" s="64" customFormat="1" x14ac:dyDescent="0.25">
      <c r="A693" s="81">
        <f>Données!$A797</f>
        <v>0</v>
      </c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65"/>
    </row>
    <row r="694" spans="1:15" s="64" customFormat="1" x14ac:dyDescent="0.25">
      <c r="A694" s="81">
        <f>Données!$A798</f>
        <v>0</v>
      </c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65"/>
    </row>
    <row r="695" spans="1:15" s="64" customFormat="1" x14ac:dyDescent="0.25">
      <c r="A695" s="81">
        <f>Données!$A799</f>
        <v>0</v>
      </c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65"/>
    </row>
    <row r="696" spans="1:15" s="64" customFormat="1" x14ac:dyDescent="0.25">
      <c r="A696" s="81">
        <f>Données!$A800</f>
        <v>0</v>
      </c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65"/>
    </row>
    <row r="697" spans="1:15" s="64" customFormat="1" x14ac:dyDescent="0.25">
      <c r="A697" s="81">
        <f>Données!$A801</f>
        <v>0</v>
      </c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65"/>
    </row>
    <row r="698" spans="1:15" s="64" customFormat="1" x14ac:dyDescent="0.25">
      <c r="A698" s="81">
        <f>Données!$A802</f>
        <v>0</v>
      </c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65"/>
    </row>
    <row r="699" spans="1:15" s="64" customFormat="1" x14ac:dyDescent="0.25">
      <c r="A699" s="81">
        <f>Données!$A803</f>
        <v>0</v>
      </c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65"/>
    </row>
    <row r="700" spans="1:15" s="64" customFormat="1" x14ac:dyDescent="0.25">
      <c r="A700" s="81">
        <f>Données!$A804</f>
        <v>0</v>
      </c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65"/>
    </row>
  </sheetData>
  <conditionalFormatting sqref="A2:A6 A7:N21 B22:N34 A35:N35 B36:N700">
    <cfRule type="cellIs" dxfId="302" priority="14" operator="equal">
      <formula>0</formula>
    </cfRule>
  </conditionalFormatting>
  <conditionalFormatting sqref="B2:B5">
    <cfRule type="cellIs" dxfId="301" priority="4" operator="equal">
      <formula>0</formula>
    </cfRule>
  </conditionalFormatting>
  <conditionalFormatting sqref="B6:N6">
    <cfRule type="cellIs" dxfId="300" priority="10" operator="equal">
      <formula>0</formula>
    </cfRule>
  </conditionalFormatting>
  <conditionalFormatting sqref="C3:N5">
    <cfRule type="cellIs" dxfId="299" priority="1" operator="equal">
      <formula>0</formula>
    </cfRule>
  </conditionalFormatting>
  <conditionalFormatting sqref="C20:N20">
    <cfRule type="cellIs" dxfId="298" priority="12" operator="lessThan">
      <formula>0</formula>
    </cfRule>
    <cfRule type="cellIs" dxfId="297" priority="13" operator="greaterThan">
      <formula>0</formula>
    </cfRule>
  </conditionalFormatting>
  <conditionalFormatting sqref="C35:N35">
    <cfRule type="cellIs" dxfId="296" priority="2" operator="lessThan">
      <formula>0</formula>
    </cfRule>
    <cfRule type="cellIs" dxfId="295" priority="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4B21-CCE6-4EA7-BEC1-5C8E605F9BC3}">
  <sheetPr codeName="Feuil2"/>
  <dimension ref="A1:AU285"/>
  <sheetViews>
    <sheetView tabSelected="1" zoomScaleNormal="100" workbookViewId="0">
      <pane ySplit="2" topLeftCell="A240" activePane="bottomLeft" state="frozen"/>
      <selection activeCell="B1" sqref="B1"/>
      <selection pane="bottomLeft" activeCell="AE267" sqref="AE267"/>
    </sheetView>
  </sheetViews>
  <sheetFormatPr baseColWidth="10" defaultColWidth="9.140625" defaultRowHeight="13.5" outlineLevelCol="1" x14ac:dyDescent="0.25"/>
  <cols>
    <col min="1" max="1" width="10.28515625" style="20" hidden="1" customWidth="1" outlineLevel="1"/>
    <col min="2" max="2" width="7.140625" style="4" hidden="1" customWidth="1" outlineLevel="1"/>
    <col min="3" max="3" width="9.85546875" style="5" hidden="1" customWidth="1" outlineLevel="1"/>
    <col min="4" max="4" width="7.140625" style="4" hidden="1" customWidth="1" outlineLevel="1"/>
    <col min="5" max="5" width="6.5703125" style="4" customWidth="1" collapsed="1"/>
    <col min="6" max="6" width="15" style="7" bestFit="1" customWidth="1"/>
    <col min="7" max="7" width="11.5703125" style="7" bestFit="1" customWidth="1"/>
    <col min="8" max="8" width="20.140625" style="7" bestFit="1" customWidth="1"/>
    <col min="9" max="9" width="11.7109375" style="5" bestFit="1" customWidth="1"/>
    <col min="10" max="10" width="8.28515625" style="5" bestFit="1" customWidth="1"/>
    <col min="11" max="12" width="7.28515625" style="5" bestFit="1" customWidth="1"/>
    <col min="13" max="13" width="8.42578125" style="5" bestFit="1" customWidth="1"/>
    <col min="14" max="14" width="7.140625" style="5" hidden="1" customWidth="1" outlineLevel="1"/>
    <col min="15" max="15" width="11.42578125" style="5" hidden="1" customWidth="1" outlineLevel="1"/>
    <col min="16" max="16" width="13.85546875" style="5" hidden="1" customWidth="1" outlineLevel="1"/>
    <col min="17" max="17" width="7.140625" style="5" hidden="1" customWidth="1" outlineLevel="1"/>
    <col min="18" max="18" width="13.42578125" style="5" hidden="1" customWidth="1" outlineLevel="1"/>
    <col min="19" max="19" width="8.42578125" style="5" hidden="1" customWidth="1" outlineLevel="1"/>
    <col min="20" max="20" width="7.85546875" style="5" hidden="1" customWidth="1" outlineLevel="1"/>
    <col min="21" max="21" width="12" style="6" hidden="1" customWidth="1" outlineLevel="1"/>
    <col min="22" max="22" width="12.85546875" style="5" hidden="1" customWidth="1" outlineLevel="1"/>
    <col min="23" max="23" width="7.140625" style="5" hidden="1" customWidth="1" outlineLevel="1"/>
    <col min="24" max="24" width="5.85546875" style="5" bestFit="1" customWidth="1" collapsed="1"/>
    <col min="25" max="25" width="4.7109375" style="18" bestFit="1" customWidth="1"/>
    <col min="26" max="26" width="10.28515625" style="9" bestFit="1" customWidth="1"/>
    <col min="27" max="27" width="5.85546875" style="18" bestFit="1" customWidth="1"/>
    <col min="28" max="28" width="9.5703125" style="9" bestFit="1" customWidth="1"/>
    <col min="29" max="29" width="4.7109375" style="66" bestFit="1" customWidth="1"/>
    <col min="30" max="30" width="10.140625" style="9" bestFit="1" customWidth="1"/>
    <col min="31" max="31" width="4.7109375" style="66" bestFit="1" customWidth="1"/>
    <col min="32" max="32" width="10.5703125" style="5" bestFit="1" customWidth="1"/>
    <col min="33" max="33" width="4.7109375" style="66" bestFit="1" customWidth="1"/>
    <col min="34" max="34" width="10.140625" style="57" bestFit="1" customWidth="1"/>
    <col min="35" max="35" width="3.42578125" style="18" bestFit="1" customWidth="1"/>
    <col min="36" max="36" width="6.42578125" style="57" bestFit="1" customWidth="1"/>
    <col min="37" max="37" width="4.7109375" style="66" bestFit="1" customWidth="1"/>
    <col min="38" max="38" width="6.42578125" style="57" bestFit="1" customWidth="1"/>
    <col min="39" max="39" width="4.7109375" style="66" bestFit="1" customWidth="1"/>
    <col min="40" max="40" width="6.42578125" style="9" bestFit="1" customWidth="1"/>
    <col min="41" max="41" width="4.7109375" style="66" bestFit="1" customWidth="1"/>
    <col min="42" max="42" width="6.42578125" style="9" bestFit="1" customWidth="1"/>
    <col min="43" max="43" width="4.42578125" style="18" bestFit="1" customWidth="1"/>
    <col min="44" max="44" width="6.42578125" style="9" bestFit="1" customWidth="1"/>
    <col min="45" max="45" width="4.42578125" style="66" bestFit="1" customWidth="1"/>
    <col min="46" max="46" width="4.5703125" style="9" bestFit="1" customWidth="1"/>
    <col min="47" max="47" width="8.85546875" style="73" bestFit="1" customWidth="1"/>
    <col min="48" max="16384" width="9.140625" style="7"/>
  </cols>
  <sheetData>
    <row r="1" spans="1:47" ht="14.25" thickBot="1" x14ac:dyDescent="0.3">
      <c r="AU1" s="135"/>
    </row>
    <row r="2" spans="1:47" ht="14.25" thickBot="1" x14ac:dyDescent="0.3">
      <c r="A2" s="22" t="s">
        <v>33</v>
      </c>
      <c r="B2" s="23" t="s">
        <v>44</v>
      </c>
      <c r="C2" s="24" t="s">
        <v>34</v>
      </c>
      <c r="D2" s="23" t="s">
        <v>44</v>
      </c>
      <c r="E2" s="28"/>
      <c r="F2" s="40" t="str">
        <f>Données!E1</f>
        <v>Client</v>
      </c>
      <c r="G2" s="40"/>
      <c r="H2" s="40" t="s">
        <v>18</v>
      </c>
      <c r="I2" s="25" t="s">
        <v>19</v>
      </c>
      <c r="J2" s="25"/>
      <c r="K2" s="25"/>
      <c r="L2" s="25" t="s">
        <v>179</v>
      </c>
      <c r="M2" s="25" t="s">
        <v>180</v>
      </c>
      <c r="N2" s="25" t="s">
        <v>44</v>
      </c>
      <c r="O2" s="25" t="s">
        <v>144</v>
      </c>
      <c r="P2" s="25" t="s">
        <v>26</v>
      </c>
      <c r="Q2" s="25" t="s">
        <v>44</v>
      </c>
      <c r="R2" s="25" t="s">
        <v>24</v>
      </c>
      <c r="S2" s="25" t="s">
        <v>49</v>
      </c>
      <c r="T2" s="25" t="s">
        <v>50</v>
      </c>
      <c r="U2" s="25" t="s">
        <v>54</v>
      </c>
      <c r="V2" s="24" t="s">
        <v>33</v>
      </c>
      <c r="W2" s="24" t="s">
        <v>44</v>
      </c>
      <c r="X2" s="24"/>
      <c r="Y2" s="124"/>
      <c r="Z2" s="25" t="s">
        <v>0</v>
      </c>
      <c r="AA2" s="127"/>
      <c r="AB2" s="25" t="s">
        <v>31</v>
      </c>
      <c r="AC2" s="120"/>
      <c r="AD2" s="25" t="s">
        <v>163</v>
      </c>
      <c r="AE2" s="120"/>
      <c r="AF2" s="25" t="s">
        <v>124</v>
      </c>
      <c r="AG2" s="120"/>
      <c r="AH2" s="55" t="s">
        <v>190</v>
      </c>
      <c r="AI2" s="124"/>
      <c r="AJ2" s="55" t="s">
        <v>44</v>
      </c>
      <c r="AK2" s="120"/>
      <c r="AL2" s="58" t="s">
        <v>44</v>
      </c>
      <c r="AM2" s="25"/>
      <c r="AN2" s="26" t="s">
        <v>44</v>
      </c>
      <c r="AO2" s="25"/>
      <c r="AP2" s="26" t="s">
        <v>44</v>
      </c>
      <c r="AQ2" s="124"/>
      <c r="AR2" s="26" t="s">
        <v>44</v>
      </c>
      <c r="AS2" s="25"/>
      <c r="AT2" s="26" t="s">
        <v>44</v>
      </c>
      <c r="AU2" s="136" t="s">
        <v>48</v>
      </c>
    </row>
    <row r="3" spans="1:47" x14ac:dyDescent="0.25">
      <c r="B3" s="4">
        <f>IF(A3="",0,((U3)*10%))</f>
        <v>0</v>
      </c>
      <c r="I3" s="5" t="s">
        <v>3</v>
      </c>
      <c r="Z3" s="5"/>
      <c r="AB3" s="5"/>
      <c r="AD3" s="5"/>
      <c r="AH3" s="44"/>
      <c r="AJ3" s="44"/>
      <c r="AL3" s="44"/>
      <c r="AN3" s="5"/>
      <c r="AP3" s="5"/>
      <c r="AR3" s="5"/>
      <c r="AT3" s="5"/>
    </row>
    <row r="4" spans="1:47" x14ac:dyDescent="0.25">
      <c r="A4" s="21"/>
      <c r="C4" s="9"/>
      <c r="D4" s="10"/>
      <c r="E4" s="10"/>
      <c r="F4" s="8"/>
      <c r="G4" s="8"/>
      <c r="H4" s="8"/>
      <c r="I4" s="5" t="s">
        <v>3</v>
      </c>
      <c r="L4" s="9"/>
      <c r="M4" s="9"/>
      <c r="N4" s="9"/>
      <c r="O4" s="9"/>
      <c r="P4" s="9"/>
      <c r="Q4" s="9"/>
      <c r="Z4" s="5"/>
      <c r="AB4" s="5"/>
      <c r="AD4" s="5"/>
      <c r="AH4" s="44"/>
      <c r="AJ4" s="44"/>
      <c r="AL4" s="44"/>
      <c r="AN4" s="5"/>
      <c r="AP4" s="5"/>
      <c r="AR4" s="5"/>
      <c r="AT4" s="5"/>
    </row>
    <row r="5" spans="1:47" s="8" customFormat="1" x14ac:dyDescent="0.25">
      <c r="A5" s="21" t="s">
        <v>38</v>
      </c>
      <c r="B5" s="9"/>
      <c r="C5" s="9"/>
      <c r="D5" s="9">
        <f t="shared" ref="D5:D12" si="0">IF(C5="",0,((U5)*5%))</f>
        <v>0</v>
      </c>
      <c r="E5" s="10"/>
      <c r="F5" s="54" t="s">
        <v>35</v>
      </c>
      <c r="G5" s="27" t="s">
        <v>46</v>
      </c>
      <c r="H5" s="54" t="s">
        <v>68</v>
      </c>
      <c r="I5" s="9" t="s">
        <v>5</v>
      </c>
      <c r="J5" s="5">
        <f>L5</f>
        <v>500</v>
      </c>
      <c r="K5" s="9"/>
      <c r="L5" s="9">
        <v>500</v>
      </c>
      <c r="M5" s="9">
        <f t="shared" ref="M5:M12" si="1">L5</f>
        <v>500</v>
      </c>
      <c r="N5" s="9">
        <v>250</v>
      </c>
      <c r="O5" s="72">
        <f t="shared" ref="O5:O41" si="2">M5-N5</f>
        <v>250</v>
      </c>
      <c r="P5" s="74"/>
      <c r="Q5" s="9"/>
      <c r="R5" s="27"/>
      <c r="S5" s="27"/>
      <c r="T5" s="27">
        <v>250</v>
      </c>
      <c r="U5" s="29">
        <f>O5-P5-Q5-R5-S5-T5</f>
        <v>0</v>
      </c>
      <c r="V5" s="27">
        <f t="shared" ref="V5:V15" si="3">U5-B5-D5</f>
        <v>0</v>
      </c>
      <c r="W5" s="28"/>
      <c r="X5" s="13">
        <f t="shared" ref="X5:X15" si="4">100%-Y5-AA5-AC5-AE5-AG5-AI5-AK5-AM5-AO5-AQ5</f>
        <v>1</v>
      </c>
      <c r="Y5" s="17"/>
      <c r="Z5" s="5">
        <f t="shared" ref="Z5:Z13" si="5">(V5*Y5)+Q5+R5</f>
        <v>0</v>
      </c>
      <c r="AA5" s="17"/>
      <c r="AB5" s="5">
        <f t="shared" ref="AB5:AB13" si="6">(V5*AA5)</f>
        <v>0</v>
      </c>
      <c r="AC5" s="67"/>
      <c r="AD5" s="5"/>
      <c r="AE5" s="67"/>
      <c r="AF5" s="4">
        <f t="shared" ref="AF5:AF13" si="7">V5*AE5</f>
        <v>0</v>
      </c>
      <c r="AG5" s="67"/>
      <c r="AH5" s="44">
        <f t="shared" ref="AH5:AH13" si="8">V5*AG5</f>
        <v>0</v>
      </c>
      <c r="AI5" s="17"/>
      <c r="AJ5" s="44">
        <f t="shared" ref="AJ5:AJ13" si="9">V5*AI5</f>
        <v>0</v>
      </c>
      <c r="AK5" s="67"/>
      <c r="AL5" s="44">
        <f t="shared" ref="AL5:AL13" si="10">V5*AK5</f>
        <v>0</v>
      </c>
      <c r="AM5" s="67"/>
      <c r="AN5" s="4">
        <f t="shared" ref="AN5:AN13" si="11">V5*AM5</f>
        <v>0</v>
      </c>
      <c r="AO5" s="67"/>
      <c r="AP5" s="4">
        <f t="shared" ref="AP5:AP13" si="12">V5*AO5</f>
        <v>0</v>
      </c>
      <c r="AQ5" s="17"/>
      <c r="AR5" s="4">
        <f t="shared" ref="AR5:AR13" si="13">V5*AQ5</f>
        <v>0</v>
      </c>
      <c r="AS5" s="67"/>
      <c r="AT5" s="4">
        <f t="shared" ref="AT5:AT15" si="14">X5*AS5</f>
        <v>0</v>
      </c>
      <c r="AU5" s="73">
        <f t="shared" ref="AU5:AU13" si="15">V5*X5</f>
        <v>0</v>
      </c>
    </row>
    <row r="6" spans="1:47" s="8" customFormat="1" x14ac:dyDescent="0.25">
      <c r="A6" s="21" t="s">
        <v>38</v>
      </c>
      <c r="B6" s="9">
        <f>IF(A6="",0,((U6)*10%))</f>
        <v>44.64</v>
      </c>
      <c r="C6" s="9"/>
      <c r="D6" s="9">
        <f t="shared" si="0"/>
        <v>0</v>
      </c>
      <c r="E6" s="10"/>
      <c r="F6" s="54" t="s">
        <v>35</v>
      </c>
      <c r="G6" s="27" t="s">
        <v>46</v>
      </c>
      <c r="H6" s="54" t="s">
        <v>57</v>
      </c>
      <c r="I6" s="9" t="s">
        <v>5</v>
      </c>
      <c r="J6" s="5">
        <f>L6*2</f>
        <v>1550</v>
      </c>
      <c r="K6" s="9"/>
      <c r="L6" s="9">
        <v>775</v>
      </c>
      <c r="M6" s="9">
        <f t="shared" si="1"/>
        <v>775</v>
      </c>
      <c r="N6" s="9"/>
      <c r="O6" s="72">
        <f t="shared" si="2"/>
        <v>775</v>
      </c>
      <c r="P6" s="74">
        <f>(M6-N6)*10%</f>
        <v>77.5</v>
      </c>
      <c r="Q6" s="9">
        <f t="shared" ref="Q6:Q8" si="16">(M6-N6)*10%</f>
        <v>77.5</v>
      </c>
      <c r="R6" s="27">
        <f>(M6-N6-P6-Q6)*20%</f>
        <v>124</v>
      </c>
      <c r="S6" s="27">
        <f>(M6-N6-P6-Q6-R6)*10%</f>
        <v>49.6</v>
      </c>
      <c r="T6" s="27"/>
      <c r="U6" s="29">
        <f>M6-N6-P6-Q6-R6-S6-T6</f>
        <v>446.4</v>
      </c>
      <c r="V6" s="27">
        <f t="shared" si="3"/>
        <v>401.76</v>
      </c>
      <c r="W6" s="28"/>
      <c r="X6" s="13">
        <f t="shared" si="4"/>
        <v>3.0000000000000027E-2</v>
      </c>
      <c r="Y6" s="17">
        <f>(97%-AA6-AC6-AE6-AG6-AI6-AK6-AM6-AO6-AQ6-AS6)</f>
        <v>0.97</v>
      </c>
      <c r="Z6" s="5">
        <f t="shared" si="5"/>
        <v>591.20720000000006</v>
      </c>
      <c r="AA6" s="17"/>
      <c r="AB6" s="5">
        <f t="shared" si="6"/>
        <v>0</v>
      </c>
      <c r="AC6" s="67"/>
      <c r="AD6" s="5"/>
      <c r="AE6" s="67"/>
      <c r="AF6" s="4">
        <f t="shared" si="7"/>
        <v>0</v>
      </c>
      <c r="AG6" s="67"/>
      <c r="AH6" s="44">
        <f t="shared" si="8"/>
        <v>0</v>
      </c>
      <c r="AI6" s="17"/>
      <c r="AJ6" s="44">
        <f t="shared" si="9"/>
        <v>0</v>
      </c>
      <c r="AK6" s="67"/>
      <c r="AL6" s="44">
        <f t="shared" si="10"/>
        <v>0</v>
      </c>
      <c r="AM6" s="67"/>
      <c r="AN6" s="4">
        <f t="shared" si="11"/>
        <v>0</v>
      </c>
      <c r="AO6" s="67"/>
      <c r="AP6" s="4">
        <f t="shared" si="12"/>
        <v>0</v>
      </c>
      <c r="AQ6" s="17"/>
      <c r="AR6" s="4">
        <f t="shared" si="13"/>
        <v>0</v>
      </c>
      <c r="AS6" s="67"/>
      <c r="AT6" s="5">
        <f>V6*AS6</f>
        <v>0</v>
      </c>
      <c r="AU6" s="73">
        <f t="shared" si="15"/>
        <v>12.05280000000001</v>
      </c>
    </row>
    <row r="7" spans="1:47" s="8" customFormat="1" x14ac:dyDescent="0.25">
      <c r="A7" s="21" t="s">
        <v>38</v>
      </c>
      <c r="B7" s="9">
        <f>IF(A7="",0,((U7)*10%))</f>
        <v>44.64</v>
      </c>
      <c r="C7" s="9"/>
      <c r="D7" s="9">
        <f t="shared" si="0"/>
        <v>0</v>
      </c>
      <c r="E7" s="10"/>
      <c r="F7" s="54" t="s">
        <v>35</v>
      </c>
      <c r="G7" s="27" t="s">
        <v>46</v>
      </c>
      <c r="H7" s="54" t="s">
        <v>58</v>
      </c>
      <c r="I7" s="9" t="s">
        <v>1</v>
      </c>
      <c r="J7" s="5">
        <f t="shared" ref="J7:J15" si="17">L7*2</f>
        <v>1550</v>
      </c>
      <c r="K7" s="9"/>
      <c r="L7" s="9">
        <v>775</v>
      </c>
      <c r="M7" s="9">
        <f t="shared" si="1"/>
        <v>775</v>
      </c>
      <c r="N7" s="9"/>
      <c r="O7" s="72">
        <f t="shared" si="2"/>
        <v>775</v>
      </c>
      <c r="P7" s="74">
        <f t="shared" ref="P7:P11" si="18">(M7-N7)*10%</f>
        <v>77.5</v>
      </c>
      <c r="Q7" s="9">
        <f t="shared" si="16"/>
        <v>77.5</v>
      </c>
      <c r="R7" s="27">
        <f>(M7-N7-P7-Q7)*20%</f>
        <v>124</v>
      </c>
      <c r="S7" s="27">
        <f>(M7-N7-P7-Q7-R7)*10%</f>
        <v>49.6</v>
      </c>
      <c r="T7" s="27"/>
      <c r="U7" s="29">
        <f t="shared" ref="U7:U15" si="19">M7-N7-P7-Q7-R7-S7-T7</f>
        <v>446.4</v>
      </c>
      <c r="V7" s="27">
        <f t="shared" si="3"/>
        <v>401.76</v>
      </c>
      <c r="W7" s="28"/>
      <c r="X7" s="13">
        <f t="shared" si="4"/>
        <v>3.0000000000000027E-2</v>
      </c>
      <c r="Y7" s="17">
        <f t="shared" ref="Y7:Y12" si="20">(97%-AA7-AC7-AE7-AG7-AI7-AK7-AM7-AO7-AQ7)</f>
        <v>0.97</v>
      </c>
      <c r="Z7" s="5">
        <f t="shared" si="5"/>
        <v>591.20720000000006</v>
      </c>
      <c r="AA7" s="17"/>
      <c r="AB7" s="5">
        <f t="shared" si="6"/>
        <v>0</v>
      </c>
      <c r="AC7" s="67"/>
      <c r="AD7" s="5"/>
      <c r="AE7" s="67"/>
      <c r="AF7" s="4">
        <f t="shared" si="7"/>
        <v>0</v>
      </c>
      <c r="AG7" s="67"/>
      <c r="AH7" s="44">
        <f t="shared" si="8"/>
        <v>0</v>
      </c>
      <c r="AI7" s="17"/>
      <c r="AJ7" s="44">
        <f t="shared" si="9"/>
        <v>0</v>
      </c>
      <c r="AK7" s="67"/>
      <c r="AL7" s="44">
        <f t="shared" si="10"/>
        <v>0</v>
      </c>
      <c r="AM7" s="67"/>
      <c r="AN7" s="4">
        <f t="shared" si="11"/>
        <v>0</v>
      </c>
      <c r="AO7" s="67"/>
      <c r="AP7" s="4">
        <f t="shared" si="12"/>
        <v>0</v>
      </c>
      <c r="AQ7" s="17"/>
      <c r="AR7" s="4">
        <f t="shared" si="13"/>
        <v>0</v>
      </c>
      <c r="AS7" s="67"/>
      <c r="AT7" s="5">
        <f>V7*AS7</f>
        <v>0</v>
      </c>
      <c r="AU7" s="73">
        <f t="shared" si="15"/>
        <v>12.05280000000001</v>
      </c>
    </row>
    <row r="8" spans="1:47" s="8" customFormat="1" x14ac:dyDescent="0.25">
      <c r="A8" s="21" t="s">
        <v>38</v>
      </c>
      <c r="B8" s="9">
        <f>IF(A8="",0,((U8)*10%))</f>
        <v>44.64</v>
      </c>
      <c r="C8" s="9"/>
      <c r="D8" s="9">
        <f t="shared" si="0"/>
        <v>0</v>
      </c>
      <c r="E8" s="10"/>
      <c r="F8" s="54" t="s">
        <v>35</v>
      </c>
      <c r="G8" s="27" t="s">
        <v>46</v>
      </c>
      <c r="H8" s="54" t="s">
        <v>59</v>
      </c>
      <c r="I8" s="9" t="s">
        <v>2</v>
      </c>
      <c r="J8" s="5">
        <f t="shared" si="17"/>
        <v>1550</v>
      </c>
      <c r="K8" s="9"/>
      <c r="L8" s="9">
        <v>775</v>
      </c>
      <c r="M8" s="9">
        <f t="shared" si="1"/>
        <v>775</v>
      </c>
      <c r="N8" s="9"/>
      <c r="O8" s="72">
        <f t="shared" si="2"/>
        <v>775</v>
      </c>
      <c r="P8" s="74">
        <f t="shared" si="18"/>
        <v>77.5</v>
      </c>
      <c r="Q8" s="9">
        <f t="shared" si="16"/>
        <v>77.5</v>
      </c>
      <c r="R8" s="27">
        <f>(M8-N8-P8-Q8)*20%</f>
        <v>124</v>
      </c>
      <c r="S8" s="27">
        <f>(M8-N8-P8-Q8-R8)*10%</f>
        <v>49.6</v>
      </c>
      <c r="T8" s="27"/>
      <c r="U8" s="29">
        <f t="shared" si="19"/>
        <v>446.4</v>
      </c>
      <c r="V8" s="27">
        <f t="shared" si="3"/>
        <v>401.76</v>
      </c>
      <c r="W8" s="28"/>
      <c r="X8" s="13">
        <f t="shared" si="4"/>
        <v>3.0000000000000027E-2</v>
      </c>
      <c r="Y8" s="17">
        <f t="shared" si="20"/>
        <v>0.97</v>
      </c>
      <c r="Z8" s="5">
        <f t="shared" si="5"/>
        <v>591.20720000000006</v>
      </c>
      <c r="AA8" s="17"/>
      <c r="AB8" s="5">
        <f t="shared" si="6"/>
        <v>0</v>
      </c>
      <c r="AC8" s="67"/>
      <c r="AD8" s="5"/>
      <c r="AE8" s="67"/>
      <c r="AF8" s="4">
        <f t="shared" si="7"/>
        <v>0</v>
      </c>
      <c r="AG8" s="67"/>
      <c r="AH8" s="44">
        <f t="shared" si="8"/>
        <v>0</v>
      </c>
      <c r="AI8" s="17"/>
      <c r="AJ8" s="44">
        <f t="shared" si="9"/>
        <v>0</v>
      </c>
      <c r="AK8" s="67"/>
      <c r="AL8" s="44">
        <f t="shared" si="10"/>
        <v>0</v>
      </c>
      <c r="AM8" s="67"/>
      <c r="AN8" s="4">
        <f t="shared" si="11"/>
        <v>0</v>
      </c>
      <c r="AO8" s="67"/>
      <c r="AP8" s="4">
        <f t="shared" si="12"/>
        <v>0</v>
      </c>
      <c r="AQ8" s="17"/>
      <c r="AR8" s="4">
        <f t="shared" si="13"/>
        <v>0</v>
      </c>
      <c r="AS8" s="67"/>
      <c r="AT8" s="4">
        <f t="shared" si="14"/>
        <v>0</v>
      </c>
      <c r="AU8" s="73">
        <f t="shared" si="15"/>
        <v>12.05280000000001</v>
      </c>
    </row>
    <row r="9" spans="1:47" s="8" customFormat="1" x14ac:dyDescent="0.25">
      <c r="A9" s="21" t="s">
        <v>38</v>
      </c>
      <c r="B9" s="9">
        <f>IF(A9="",0,((U9)*10%))</f>
        <v>50.22</v>
      </c>
      <c r="C9" s="9"/>
      <c r="D9" s="9">
        <f t="shared" si="0"/>
        <v>0</v>
      </c>
      <c r="E9" s="10"/>
      <c r="F9" s="54" t="s">
        <v>35</v>
      </c>
      <c r="G9" s="27" t="s">
        <v>46</v>
      </c>
      <c r="H9" s="54" t="s">
        <v>60</v>
      </c>
      <c r="I9" s="9" t="s">
        <v>6</v>
      </c>
      <c r="J9" s="5">
        <f t="shared" si="17"/>
        <v>1550</v>
      </c>
      <c r="K9" s="9"/>
      <c r="L9" s="9">
        <v>775</v>
      </c>
      <c r="M9" s="9">
        <f t="shared" si="1"/>
        <v>775</v>
      </c>
      <c r="N9" s="9"/>
      <c r="O9" s="72">
        <f t="shared" si="2"/>
        <v>775</v>
      </c>
      <c r="P9" s="74">
        <f t="shared" si="18"/>
        <v>77.5</v>
      </c>
      <c r="Q9" s="9"/>
      <c r="R9" s="27">
        <f>(M9-N9-P9-Q9)*20%</f>
        <v>139.5</v>
      </c>
      <c r="S9" s="27">
        <f>(M9-N9-P9-Q9-R9)*10%</f>
        <v>55.800000000000004</v>
      </c>
      <c r="T9" s="27"/>
      <c r="U9" s="29">
        <f t="shared" si="19"/>
        <v>502.2</v>
      </c>
      <c r="V9" s="27">
        <f t="shared" si="3"/>
        <v>451.98</v>
      </c>
      <c r="W9" s="28"/>
      <c r="X9" s="13">
        <f t="shared" si="4"/>
        <v>3.0000000000000027E-2</v>
      </c>
      <c r="Y9" s="17">
        <f t="shared" si="20"/>
        <v>0.97</v>
      </c>
      <c r="Z9" s="5">
        <f t="shared" si="5"/>
        <v>577.92059999999992</v>
      </c>
      <c r="AA9" s="17"/>
      <c r="AB9" s="5">
        <f t="shared" si="6"/>
        <v>0</v>
      </c>
      <c r="AC9" s="67"/>
      <c r="AD9" s="5"/>
      <c r="AE9" s="67"/>
      <c r="AF9" s="4">
        <f t="shared" si="7"/>
        <v>0</v>
      </c>
      <c r="AG9" s="67"/>
      <c r="AH9" s="44">
        <f t="shared" si="8"/>
        <v>0</v>
      </c>
      <c r="AI9" s="17"/>
      <c r="AJ9" s="44">
        <f t="shared" si="9"/>
        <v>0</v>
      </c>
      <c r="AK9" s="67"/>
      <c r="AL9" s="44">
        <f t="shared" si="10"/>
        <v>0</v>
      </c>
      <c r="AM9" s="67"/>
      <c r="AN9" s="4">
        <f t="shared" si="11"/>
        <v>0</v>
      </c>
      <c r="AO9" s="67"/>
      <c r="AP9" s="4">
        <f t="shared" si="12"/>
        <v>0</v>
      </c>
      <c r="AQ9" s="17"/>
      <c r="AR9" s="4">
        <f t="shared" si="13"/>
        <v>0</v>
      </c>
      <c r="AS9" s="67"/>
      <c r="AT9" s="4">
        <f t="shared" si="14"/>
        <v>0</v>
      </c>
      <c r="AU9" s="73">
        <f t="shared" si="15"/>
        <v>13.559400000000013</v>
      </c>
    </row>
    <row r="10" spans="1:47" s="8" customFormat="1" x14ac:dyDescent="0.25">
      <c r="A10" s="21" t="s">
        <v>38</v>
      </c>
      <c r="B10" s="9">
        <f>IF(A10="",0,((U10)*10%))</f>
        <v>64.867499999999993</v>
      </c>
      <c r="C10" s="9"/>
      <c r="D10" s="9">
        <f t="shared" si="0"/>
        <v>0</v>
      </c>
      <c r="E10" s="10"/>
      <c r="F10" s="54" t="s">
        <v>35</v>
      </c>
      <c r="G10" s="27" t="s">
        <v>46</v>
      </c>
      <c r="H10" s="54" t="s">
        <v>61</v>
      </c>
      <c r="I10" s="9" t="s">
        <v>7</v>
      </c>
      <c r="J10" s="5">
        <f t="shared" si="17"/>
        <v>1550</v>
      </c>
      <c r="K10" s="9"/>
      <c r="L10" s="9">
        <v>775</v>
      </c>
      <c r="M10" s="9">
        <f t="shared" si="1"/>
        <v>775</v>
      </c>
      <c r="N10" s="9">
        <v>0</v>
      </c>
      <c r="O10" s="72">
        <f t="shared" si="2"/>
        <v>775</v>
      </c>
      <c r="P10" s="74">
        <f t="shared" si="18"/>
        <v>77.5</v>
      </c>
      <c r="Q10" s="9"/>
      <c r="R10" s="27"/>
      <c r="S10" s="27">
        <f t="shared" ref="S10:S12" si="21">(M10-N10-P10-Q10-R10)*7%</f>
        <v>48.825000000000003</v>
      </c>
      <c r="T10" s="27"/>
      <c r="U10" s="29">
        <f t="shared" si="19"/>
        <v>648.67499999999995</v>
      </c>
      <c r="V10" s="27">
        <f t="shared" si="3"/>
        <v>583.8075</v>
      </c>
      <c r="W10" s="28"/>
      <c r="X10" s="13">
        <f t="shared" si="4"/>
        <v>3.0000000000000027E-2</v>
      </c>
      <c r="Y10" s="17">
        <f t="shared" si="20"/>
        <v>0.97</v>
      </c>
      <c r="Z10" s="5">
        <f t="shared" si="5"/>
        <v>566.29327499999999</v>
      </c>
      <c r="AA10" s="17"/>
      <c r="AB10" s="5">
        <f t="shared" si="6"/>
        <v>0</v>
      </c>
      <c r="AC10" s="67"/>
      <c r="AD10" s="5"/>
      <c r="AE10" s="67"/>
      <c r="AF10" s="4">
        <f t="shared" si="7"/>
        <v>0</v>
      </c>
      <c r="AG10" s="67"/>
      <c r="AH10" s="44">
        <f t="shared" si="8"/>
        <v>0</v>
      </c>
      <c r="AI10" s="17"/>
      <c r="AJ10" s="44">
        <f t="shared" si="9"/>
        <v>0</v>
      </c>
      <c r="AK10" s="67"/>
      <c r="AL10" s="44">
        <f t="shared" si="10"/>
        <v>0</v>
      </c>
      <c r="AM10" s="67"/>
      <c r="AN10" s="4">
        <f t="shared" si="11"/>
        <v>0</v>
      </c>
      <c r="AO10" s="67"/>
      <c r="AP10" s="4">
        <f t="shared" si="12"/>
        <v>0</v>
      </c>
      <c r="AQ10" s="17"/>
      <c r="AR10" s="4">
        <f t="shared" si="13"/>
        <v>0</v>
      </c>
      <c r="AS10" s="67"/>
      <c r="AT10" s="4">
        <f t="shared" si="14"/>
        <v>0</v>
      </c>
      <c r="AU10" s="73">
        <f t="shared" si="15"/>
        <v>17.514225000000014</v>
      </c>
    </row>
    <row r="11" spans="1:47" s="8" customFormat="1" x14ac:dyDescent="0.25">
      <c r="A11" s="21" t="s">
        <v>38</v>
      </c>
      <c r="B11" s="9">
        <f>IF(A11="",0,((U11)*20%))</f>
        <v>129.73499999999999</v>
      </c>
      <c r="C11" s="9"/>
      <c r="D11" s="9">
        <f t="shared" si="0"/>
        <v>0</v>
      </c>
      <c r="E11" s="10"/>
      <c r="F11" s="54" t="s">
        <v>35</v>
      </c>
      <c r="G11" s="27" t="s">
        <v>46</v>
      </c>
      <c r="H11" s="54" t="s">
        <v>62</v>
      </c>
      <c r="I11" s="9" t="s">
        <v>8</v>
      </c>
      <c r="J11" s="5">
        <f t="shared" si="17"/>
        <v>1550</v>
      </c>
      <c r="K11" s="9"/>
      <c r="L11" s="9">
        <v>775</v>
      </c>
      <c r="M11" s="9">
        <f t="shared" si="1"/>
        <v>775</v>
      </c>
      <c r="N11" s="9">
        <v>0</v>
      </c>
      <c r="O11" s="72">
        <f t="shared" si="2"/>
        <v>775</v>
      </c>
      <c r="P11" s="74">
        <f t="shared" si="18"/>
        <v>77.5</v>
      </c>
      <c r="Q11" s="9"/>
      <c r="R11" s="27"/>
      <c r="S11" s="27">
        <f t="shared" si="21"/>
        <v>48.825000000000003</v>
      </c>
      <c r="T11" s="27"/>
      <c r="U11" s="29">
        <f t="shared" si="19"/>
        <v>648.67499999999995</v>
      </c>
      <c r="V11" s="27">
        <f t="shared" si="3"/>
        <v>518.93999999999994</v>
      </c>
      <c r="W11" s="28"/>
      <c r="X11" s="13">
        <f t="shared" si="4"/>
        <v>3.0000000000000068E-2</v>
      </c>
      <c r="Y11" s="17">
        <f t="shared" si="20"/>
        <v>0.91999999999999993</v>
      </c>
      <c r="Z11" s="5">
        <f t="shared" si="5"/>
        <v>477.42479999999989</v>
      </c>
      <c r="AA11" s="17">
        <v>0.05</v>
      </c>
      <c r="AB11" s="5">
        <f t="shared" ref="AB11" si="22">(V11*AA11)</f>
        <v>25.946999999999999</v>
      </c>
      <c r="AC11" s="67"/>
      <c r="AD11" s="5"/>
      <c r="AE11" s="67"/>
      <c r="AF11" s="4">
        <f t="shared" si="7"/>
        <v>0</v>
      </c>
      <c r="AG11" s="67"/>
      <c r="AH11" s="44">
        <f t="shared" si="8"/>
        <v>0</v>
      </c>
      <c r="AI11" s="17"/>
      <c r="AJ11" s="44">
        <f t="shared" si="9"/>
        <v>0</v>
      </c>
      <c r="AK11" s="67"/>
      <c r="AL11" s="44">
        <f t="shared" si="10"/>
        <v>0</v>
      </c>
      <c r="AM11" s="67"/>
      <c r="AN11" s="4">
        <f t="shared" si="11"/>
        <v>0</v>
      </c>
      <c r="AO11" s="67"/>
      <c r="AP11" s="4">
        <f t="shared" si="12"/>
        <v>0</v>
      </c>
      <c r="AQ11" s="17"/>
      <c r="AR11" s="4">
        <f t="shared" si="13"/>
        <v>0</v>
      </c>
      <c r="AS11" s="67"/>
      <c r="AT11" s="4">
        <f t="shared" si="14"/>
        <v>0</v>
      </c>
      <c r="AU11" s="73">
        <f t="shared" si="15"/>
        <v>15.568200000000033</v>
      </c>
    </row>
    <row r="12" spans="1:47" s="8" customFormat="1" x14ac:dyDescent="0.25">
      <c r="A12" s="21" t="s">
        <v>38</v>
      </c>
      <c r="B12" s="9">
        <f>IF(A12="",0,((U12)*20%))</f>
        <v>122.52750000000002</v>
      </c>
      <c r="C12" s="9"/>
      <c r="D12" s="9">
        <f t="shared" si="0"/>
        <v>0</v>
      </c>
      <c r="E12" s="10"/>
      <c r="F12" s="54" t="s">
        <v>35</v>
      </c>
      <c r="G12" s="27" t="s">
        <v>46</v>
      </c>
      <c r="H12" s="54" t="s">
        <v>63</v>
      </c>
      <c r="I12" s="9" t="s">
        <v>9</v>
      </c>
      <c r="J12" s="5">
        <f t="shared" si="17"/>
        <v>1550</v>
      </c>
      <c r="K12" s="9"/>
      <c r="L12" s="9">
        <v>775</v>
      </c>
      <c r="M12" s="9">
        <f t="shared" si="1"/>
        <v>775</v>
      </c>
      <c r="N12" s="9"/>
      <c r="O12" s="72">
        <f t="shared" si="2"/>
        <v>775</v>
      </c>
      <c r="P12" s="74">
        <f>(M12-N12)*15%</f>
        <v>116.25</v>
      </c>
      <c r="Q12" s="9"/>
      <c r="R12" s="27"/>
      <c r="S12" s="27">
        <f t="shared" si="21"/>
        <v>46.112500000000004</v>
      </c>
      <c r="T12" s="27"/>
      <c r="U12" s="29">
        <f t="shared" si="19"/>
        <v>612.63750000000005</v>
      </c>
      <c r="V12" s="27">
        <f t="shared" si="3"/>
        <v>490.11</v>
      </c>
      <c r="W12" s="28"/>
      <c r="X12" s="13">
        <f t="shared" si="4"/>
        <v>3.0000000000000068E-2</v>
      </c>
      <c r="Y12" s="17">
        <f t="shared" si="20"/>
        <v>0.91999999999999993</v>
      </c>
      <c r="Z12" s="5">
        <f t="shared" si="5"/>
        <v>450.90119999999996</v>
      </c>
      <c r="AA12" s="17">
        <v>0.05</v>
      </c>
      <c r="AB12" s="5">
        <f t="shared" si="6"/>
        <v>24.505500000000001</v>
      </c>
      <c r="AC12" s="67"/>
      <c r="AD12" s="5"/>
      <c r="AE12" s="67"/>
      <c r="AF12" s="4">
        <f t="shared" si="7"/>
        <v>0</v>
      </c>
      <c r="AG12" s="67"/>
      <c r="AH12" s="44">
        <f t="shared" si="8"/>
        <v>0</v>
      </c>
      <c r="AI12" s="17"/>
      <c r="AJ12" s="44">
        <f t="shared" si="9"/>
        <v>0</v>
      </c>
      <c r="AK12" s="67"/>
      <c r="AL12" s="44">
        <f t="shared" ref="AL12" si="23">V12*AK12</f>
        <v>0</v>
      </c>
      <c r="AM12" s="67"/>
      <c r="AN12" s="4">
        <f t="shared" si="11"/>
        <v>0</v>
      </c>
      <c r="AO12" s="67"/>
      <c r="AP12" s="4">
        <f t="shared" si="12"/>
        <v>0</v>
      </c>
      <c r="AQ12" s="17"/>
      <c r="AR12" s="4">
        <f t="shared" si="13"/>
        <v>0</v>
      </c>
      <c r="AS12" s="67"/>
      <c r="AT12" s="4">
        <f t="shared" si="14"/>
        <v>0</v>
      </c>
      <c r="AU12" s="73">
        <f t="shared" si="15"/>
        <v>14.703300000000034</v>
      </c>
    </row>
    <row r="13" spans="1:47" s="8" customFormat="1" x14ac:dyDescent="0.25">
      <c r="A13" s="21" t="s">
        <v>38</v>
      </c>
      <c r="B13" s="9">
        <f>IF(A13="",0,((O13)*20%))</f>
        <v>155</v>
      </c>
      <c r="C13" s="9"/>
      <c r="D13" s="9">
        <f>IF(C13="",0,((O13)*5%))</f>
        <v>0</v>
      </c>
      <c r="E13" s="10"/>
      <c r="F13" s="54" t="s">
        <v>35</v>
      </c>
      <c r="G13" s="27" t="s">
        <v>46</v>
      </c>
      <c r="H13" s="54" t="s">
        <v>64</v>
      </c>
      <c r="I13" s="9" t="s">
        <v>10</v>
      </c>
      <c r="J13" s="9">
        <f t="shared" si="17"/>
        <v>1550</v>
      </c>
      <c r="K13" s="5"/>
      <c r="L13" s="9">
        <v>775</v>
      </c>
      <c r="M13" s="9">
        <f>L13</f>
        <v>775</v>
      </c>
      <c r="N13" s="5"/>
      <c r="O13" s="72">
        <f t="shared" si="2"/>
        <v>775</v>
      </c>
      <c r="P13" s="74">
        <f t="shared" ref="P13:P15" si="24">(M13-N13)*5%</f>
        <v>38.75</v>
      </c>
      <c r="Q13" s="9"/>
      <c r="R13" s="27"/>
      <c r="S13" s="27">
        <f t="shared" ref="S13:S15" si="25">(O13-P13)*7%</f>
        <v>51.537500000000001</v>
      </c>
      <c r="T13" s="27"/>
      <c r="U13" s="29">
        <f t="shared" si="19"/>
        <v>684.71249999999998</v>
      </c>
      <c r="V13" s="27">
        <f t="shared" si="3"/>
        <v>529.71249999999998</v>
      </c>
      <c r="W13" s="28"/>
      <c r="X13" s="13">
        <f t="shared" si="4"/>
        <v>9.9999999999999811E-3</v>
      </c>
      <c r="Y13" s="17">
        <f>(99%-AA13-AC13-AE13-AG13-AI13-AK13-AM13-AO13-AQ13)</f>
        <v>0.78</v>
      </c>
      <c r="Z13" s="9">
        <f t="shared" si="5"/>
        <v>413.17574999999999</v>
      </c>
      <c r="AA13" s="17">
        <v>0.15</v>
      </c>
      <c r="AB13" s="5">
        <f t="shared" si="6"/>
        <v>79.456874999999997</v>
      </c>
      <c r="AC13" s="17">
        <v>0.06</v>
      </c>
      <c r="AD13" s="9">
        <f t="shared" ref="AD13" si="26">V13*AC13</f>
        <v>31.782749999999997</v>
      </c>
      <c r="AE13" s="67"/>
      <c r="AF13" s="4">
        <f t="shared" si="7"/>
        <v>0</v>
      </c>
      <c r="AG13" s="67"/>
      <c r="AH13" s="57">
        <f t="shared" si="8"/>
        <v>0</v>
      </c>
      <c r="AI13" s="17"/>
      <c r="AJ13" s="57">
        <f t="shared" si="9"/>
        <v>0</v>
      </c>
      <c r="AK13" s="67"/>
      <c r="AL13" s="57">
        <f t="shared" si="10"/>
        <v>0</v>
      </c>
      <c r="AM13" s="67"/>
      <c r="AN13" s="9">
        <f t="shared" si="11"/>
        <v>0</v>
      </c>
      <c r="AO13" s="67"/>
      <c r="AP13" s="10">
        <f t="shared" si="12"/>
        <v>0</v>
      </c>
      <c r="AQ13" s="17"/>
      <c r="AR13" s="10">
        <f t="shared" si="13"/>
        <v>0</v>
      </c>
      <c r="AS13" s="67"/>
      <c r="AT13" s="10">
        <f t="shared" si="14"/>
        <v>0</v>
      </c>
      <c r="AU13" s="73">
        <f t="shared" si="15"/>
        <v>5.2971249999999896</v>
      </c>
    </row>
    <row r="14" spans="1:47" s="8" customFormat="1" x14ac:dyDescent="0.25">
      <c r="A14" s="21" t="s">
        <v>38</v>
      </c>
      <c r="B14" s="9">
        <f t="shared" ref="B14:B15" si="27">IF(A14="",0,((O14)*20%))</f>
        <v>0</v>
      </c>
      <c r="C14" s="9"/>
      <c r="D14" s="9">
        <f t="shared" ref="D14:D15" si="28">IF(C14="",0,((O14)*5%))</f>
        <v>0</v>
      </c>
      <c r="E14" s="10"/>
      <c r="F14" s="54" t="s">
        <v>35</v>
      </c>
      <c r="G14" s="27" t="s">
        <v>46</v>
      </c>
      <c r="H14" s="54" t="s">
        <v>65</v>
      </c>
      <c r="I14" s="9" t="s">
        <v>11</v>
      </c>
      <c r="J14" s="5">
        <f t="shared" si="17"/>
        <v>1550</v>
      </c>
      <c r="K14" s="9"/>
      <c r="L14" s="9">
        <v>775</v>
      </c>
      <c r="M14" s="9"/>
      <c r="N14" s="9">
        <v>0</v>
      </c>
      <c r="O14" s="72">
        <f t="shared" si="2"/>
        <v>0</v>
      </c>
      <c r="P14" s="74">
        <f t="shared" si="24"/>
        <v>0</v>
      </c>
      <c r="Q14" s="9"/>
      <c r="R14" s="27"/>
      <c r="S14" s="27">
        <f t="shared" si="25"/>
        <v>0</v>
      </c>
      <c r="T14" s="27"/>
      <c r="U14" s="29">
        <f t="shared" si="19"/>
        <v>0</v>
      </c>
      <c r="V14" s="27">
        <f t="shared" si="3"/>
        <v>0</v>
      </c>
      <c r="W14" s="28"/>
      <c r="X14" s="13">
        <f t="shared" si="4"/>
        <v>9.9999999999999811E-3</v>
      </c>
      <c r="Y14" s="17">
        <f t="shared" ref="Y14:Y15" si="29">(99%-AA14-AC14-AE14-AG14-AI14-AK14-AM14-AO14-AQ14)</f>
        <v>0.78</v>
      </c>
      <c r="Z14" s="9">
        <f t="shared" ref="Z14:Z15" si="30">(V14*Y14)+Q14+R14</f>
        <v>0</v>
      </c>
      <c r="AA14" s="17">
        <v>0.15</v>
      </c>
      <c r="AB14" s="5">
        <f t="shared" ref="AB14:AB15" si="31">(V14*AA14)</f>
        <v>0</v>
      </c>
      <c r="AC14" s="17">
        <v>0.06</v>
      </c>
      <c r="AD14" s="9">
        <f t="shared" ref="AD14:AD15" si="32">V14*AC14</f>
        <v>0</v>
      </c>
      <c r="AE14" s="17"/>
      <c r="AF14" s="4">
        <f t="shared" ref="AF14:AF15" si="33">V14*AE14</f>
        <v>0</v>
      </c>
      <c r="AG14" s="17"/>
      <c r="AH14" s="44">
        <f t="shared" ref="AH14:AH15" si="34">V14*AG14</f>
        <v>0</v>
      </c>
      <c r="AI14" s="17"/>
      <c r="AJ14" s="44">
        <f t="shared" ref="AJ14:AJ15" si="35">V14*AI14</f>
        <v>0</v>
      </c>
      <c r="AK14" s="17"/>
      <c r="AL14" s="44">
        <f t="shared" ref="AL14:AL15" si="36">V14*AK14</f>
        <v>0</v>
      </c>
      <c r="AM14" s="17"/>
      <c r="AN14" s="5">
        <f t="shared" ref="AN14:AN15" si="37">V14*AM14</f>
        <v>0</v>
      </c>
      <c r="AO14" s="17"/>
      <c r="AP14" s="4">
        <f t="shared" ref="AP14:AP15" si="38">V14*AO14</f>
        <v>0</v>
      </c>
      <c r="AQ14" s="17"/>
      <c r="AR14" s="4">
        <f t="shared" ref="AR14:AR15" si="39">V14*AQ14</f>
        <v>0</v>
      </c>
      <c r="AS14" s="17"/>
      <c r="AT14" s="4">
        <f t="shared" si="14"/>
        <v>0</v>
      </c>
      <c r="AU14" s="73">
        <f t="shared" ref="AU14:AU15" si="40">V14*X14</f>
        <v>0</v>
      </c>
    </row>
    <row r="15" spans="1:47" s="8" customFormat="1" x14ac:dyDescent="0.25">
      <c r="A15" s="21" t="s">
        <v>38</v>
      </c>
      <c r="B15" s="9">
        <f t="shared" si="27"/>
        <v>0</v>
      </c>
      <c r="C15" s="9"/>
      <c r="D15" s="9">
        <f t="shared" si="28"/>
        <v>0</v>
      </c>
      <c r="E15" s="10"/>
      <c r="F15" s="54" t="s">
        <v>35</v>
      </c>
      <c r="G15" s="27" t="s">
        <v>46</v>
      </c>
      <c r="H15" s="54" t="s">
        <v>66</v>
      </c>
      <c r="I15" s="9" t="s">
        <v>12</v>
      </c>
      <c r="J15" s="5">
        <f t="shared" si="17"/>
        <v>1550</v>
      </c>
      <c r="K15" s="9"/>
      <c r="L15" s="9">
        <v>775</v>
      </c>
      <c r="M15" s="9"/>
      <c r="N15" s="9">
        <v>0</v>
      </c>
      <c r="O15" s="72">
        <f t="shared" si="2"/>
        <v>0</v>
      </c>
      <c r="P15" s="74">
        <f t="shared" si="24"/>
        <v>0</v>
      </c>
      <c r="Q15" s="9"/>
      <c r="R15" s="27"/>
      <c r="S15" s="27">
        <f t="shared" si="25"/>
        <v>0</v>
      </c>
      <c r="T15" s="27"/>
      <c r="U15" s="29">
        <f t="shared" si="19"/>
        <v>0</v>
      </c>
      <c r="V15" s="27">
        <f t="shared" si="3"/>
        <v>0</v>
      </c>
      <c r="W15" s="28"/>
      <c r="X15" s="13">
        <f t="shared" si="4"/>
        <v>9.9999999999999811E-3</v>
      </c>
      <c r="Y15" s="17">
        <f t="shared" si="29"/>
        <v>0.78</v>
      </c>
      <c r="Z15" s="9">
        <f t="shared" si="30"/>
        <v>0</v>
      </c>
      <c r="AA15" s="17">
        <v>0.15</v>
      </c>
      <c r="AB15" s="5">
        <f t="shared" si="31"/>
        <v>0</v>
      </c>
      <c r="AC15" s="17">
        <v>0.06</v>
      </c>
      <c r="AD15" s="9">
        <f t="shared" si="32"/>
        <v>0</v>
      </c>
      <c r="AE15" s="17"/>
      <c r="AF15" s="4">
        <f t="shared" si="33"/>
        <v>0</v>
      </c>
      <c r="AG15" s="17"/>
      <c r="AH15" s="44">
        <f t="shared" si="34"/>
        <v>0</v>
      </c>
      <c r="AI15" s="17"/>
      <c r="AJ15" s="44">
        <f t="shared" si="35"/>
        <v>0</v>
      </c>
      <c r="AK15" s="17"/>
      <c r="AL15" s="44">
        <f t="shared" si="36"/>
        <v>0</v>
      </c>
      <c r="AM15" s="17"/>
      <c r="AN15" s="5">
        <f t="shared" si="37"/>
        <v>0</v>
      </c>
      <c r="AO15" s="17"/>
      <c r="AP15" s="4">
        <f t="shared" si="38"/>
        <v>0</v>
      </c>
      <c r="AQ15" s="17"/>
      <c r="AR15" s="4">
        <f t="shared" si="39"/>
        <v>0</v>
      </c>
      <c r="AS15" s="17"/>
      <c r="AT15" s="4">
        <f t="shared" si="14"/>
        <v>0</v>
      </c>
      <c r="AU15" s="73">
        <f t="shared" si="40"/>
        <v>0</v>
      </c>
    </row>
    <row r="16" spans="1:47" x14ac:dyDescent="0.25">
      <c r="A16" s="21"/>
      <c r="C16" s="9"/>
      <c r="D16" s="10"/>
      <c r="E16" s="10"/>
      <c r="F16" s="8"/>
      <c r="G16" s="8"/>
      <c r="H16" s="8"/>
      <c r="I16" s="9"/>
      <c r="J16" s="9"/>
      <c r="K16" s="9"/>
      <c r="L16" s="9"/>
      <c r="M16" s="9"/>
      <c r="N16" s="9"/>
      <c r="O16" s="9"/>
      <c r="P16" s="9"/>
      <c r="Q16" s="9"/>
      <c r="Z16" s="5"/>
      <c r="AB16" s="5"/>
      <c r="AC16" s="17">
        <v>0.06</v>
      </c>
      <c r="AD16" s="5"/>
      <c r="AH16" s="44"/>
      <c r="AJ16" s="44"/>
      <c r="AL16" s="44"/>
      <c r="AN16" s="5"/>
      <c r="AP16" s="5"/>
      <c r="AR16" s="5"/>
      <c r="AT16" s="5"/>
    </row>
    <row r="17" spans="1:47" s="8" customFormat="1" x14ac:dyDescent="0.25">
      <c r="A17" s="21"/>
      <c r="B17" s="9">
        <f t="shared" ref="B17:B25" si="41">IF(A17="",0,((U17)*10%))</f>
        <v>0</v>
      </c>
      <c r="C17" s="9"/>
      <c r="D17" s="9">
        <f t="shared" ref="D17:D28" si="42">IF(C17="",0,((U17)*5%))</f>
        <v>0</v>
      </c>
      <c r="E17" s="10"/>
      <c r="F17" s="54" t="s">
        <v>41</v>
      </c>
      <c r="G17" s="27" t="s">
        <v>46</v>
      </c>
      <c r="H17" s="54" t="s">
        <v>55</v>
      </c>
      <c r="I17" s="5" t="s">
        <v>3</v>
      </c>
      <c r="J17" s="5">
        <f t="shared" ref="J17:J28" si="43">L17*2</f>
        <v>630</v>
      </c>
      <c r="K17" s="5"/>
      <c r="L17" s="9">
        <v>315</v>
      </c>
      <c r="M17" s="9">
        <f t="shared" ref="M17:M26" si="44">L17</f>
        <v>315</v>
      </c>
      <c r="N17" s="9">
        <v>2</v>
      </c>
      <c r="O17" s="72">
        <f t="shared" si="2"/>
        <v>313</v>
      </c>
      <c r="P17" s="74">
        <f t="shared" ref="P17:P24" si="45">(M17-N17)*10%</f>
        <v>31.3</v>
      </c>
      <c r="Q17" s="9">
        <f t="shared" ref="Q17" si="46">(M17-N17)*10%</f>
        <v>31.3</v>
      </c>
      <c r="R17" s="27">
        <f t="shared" ref="R17:R23" si="47">(M17-N17-P17-Q17)*20%</f>
        <v>50.08</v>
      </c>
      <c r="S17" s="27"/>
      <c r="T17" s="27"/>
      <c r="U17" s="29">
        <f t="shared" ref="U17:U28" si="48">M17-N17-P17-Q17-R17-S17</f>
        <v>200.32</v>
      </c>
      <c r="V17" s="27">
        <f t="shared" ref="V17:V28" si="49">U17-B17-D17</f>
        <v>200.32</v>
      </c>
      <c r="W17" s="28"/>
      <c r="X17" s="13">
        <f t="shared" ref="X17" si="50">100%-Y17-AA17-AC17-AE17-AG17-AI17-AK17-AM17-AO17-AQ17</f>
        <v>3.0000000000000027E-2</v>
      </c>
      <c r="Y17" s="17">
        <f t="shared" ref="Y17:Y25" si="51">(97%-AA17-AC17-AE17-AG17-AI17-AK17-AM17-AO17-AQ17)</f>
        <v>0.97</v>
      </c>
      <c r="Z17" s="5">
        <f t="shared" ref="Z17:Z28" si="52">(V17*Y17)+Q17+R17</f>
        <v>275.69040000000001</v>
      </c>
      <c r="AA17" s="17"/>
      <c r="AB17" s="5">
        <f t="shared" ref="AB17:AB28" si="53">(V17*AA17)</f>
        <v>0</v>
      </c>
      <c r="AC17" s="17"/>
      <c r="AD17" s="5"/>
      <c r="AE17" s="67"/>
      <c r="AF17" s="4">
        <f t="shared" ref="AF17:AF28" si="54">V17*AE17</f>
        <v>0</v>
      </c>
      <c r="AG17" s="67"/>
      <c r="AH17" s="44">
        <f t="shared" ref="AH17:AH28" si="55">V17*AG17</f>
        <v>0</v>
      </c>
      <c r="AI17" s="17"/>
      <c r="AJ17" s="44">
        <f t="shared" ref="AJ17:AJ28" si="56">V17*AI17</f>
        <v>0</v>
      </c>
      <c r="AK17" s="67"/>
      <c r="AL17" s="44">
        <f t="shared" ref="AL17:AL28" si="57">V17*AK17</f>
        <v>0</v>
      </c>
      <c r="AM17" s="67"/>
      <c r="AN17" s="4">
        <f t="shared" ref="AN17:AN28" si="58">V17*AM17</f>
        <v>0</v>
      </c>
      <c r="AO17" s="67"/>
      <c r="AP17" s="4">
        <f t="shared" ref="AP17:AP28" si="59">V17*AO17</f>
        <v>0</v>
      </c>
      <c r="AQ17" s="17"/>
      <c r="AR17" s="4">
        <f t="shared" ref="AR17:AR28" si="60">V17*AQ17</f>
        <v>0</v>
      </c>
      <c r="AS17" s="67"/>
      <c r="AT17" s="4">
        <f t="shared" ref="AT17:AT28" si="61">X17*AS17</f>
        <v>0</v>
      </c>
      <c r="AU17" s="73">
        <f t="shared" ref="AU17:AU28" si="62">V17*X17</f>
        <v>6.0096000000000052</v>
      </c>
    </row>
    <row r="18" spans="1:47" s="8" customFormat="1" x14ac:dyDescent="0.25">
      <c r="A18" s="21"/>
      <c r="B18" s="9">
        <f t="shared" si="41"/>
        <v>0</v>
      </c>
      <c r="C18" s="9"/>
      <c r="D18" s="9">
        <f t="shared" si="42"/>
        <v>0</v>
      </c>
      <c r="E18" s="10"/>
      <c r="F18" s="54" t="s">
        <v>41</v>
      </c>
      <c r="G18" s="27" t="s">
        <v>46</v>
      </c>
      <c r="H18" s="54" t="s">
        <v>56</v>
      </c>
      <c r="I18" s="9" t="s">
        <v>4</v>
      </c>
      <c r="J18" s="5">
        <f t="shared" si="43"/>
        <v>630</v>
      </c>
      <c r="K18" s="9"/>
      <c r="L18" s="9">
        <v>315</v>
      </c>
      <c r="M18" s="9">
        <f t="shared" si="44"/>
        <v>315</v>
      </c>
      <c r="N18" s="9">
        <v>2</v>
      </c>
      <c r="O18" s="72">
        <f t="shared" si="2"/>
        <v>313</v>
      </c>
      <c r="P18" s="74">
        <f t="shared" si="45"/>
        <v>31.3</v>
      </c>
      <c r="Q18" s="9">
        <f t="shared" ref="Q18:Q21" si="63">(M18-N18)*10%</f>
        <v>31.3</v>
      </c>
      <c r="R18" s="27">
        <f t="shared" si="47"/>
        <v>50.08</v>
      </c>
      <c r="S18" s="27"/>
      <c r="T18" s="27"/>
      <c r="U18" s="29">
        <f t="shared" si="48"/>
        <v>200.32</v>
      </c>
      <c r="V18" s="27">
        <f t="shared" si="49"/>
        <v>200.32</v>
      </c>
      <c r="W18" s="28"/>
      <c r="X18" s="13">
        <f t="shared" ref="X18:X20" si="64">100%-Y18-AA18-AC18-AE18-AG18-AI18-AK18-AM18-AO18-AQ18</f>
        <v>3.0000000000000027E-2</v>
      </c>
      <c r="Y18" s="17">
        <f t="shared" si="51"/>
        <v>0.97</v>
      </c>
      <c r="Z18" s="5">
        <f t="shared" si="52"/>
        <v>275.69040000000001</v>
      </c>
      <c r="AA18" s="17"/>
      <c r="AB18" s="5">
        <f t="shared" si="53"/>
        <v>0</v>
      </c>
      <c r="AC18" s="17"/>
      <c r="AD18" s="5"/>
      <c r="AE18" s="67"/>
      <c r="AF18" s="4">
        <f t="shared" si="54"/>
        <v>0</v>
      </c>
      <c r="AG18" s="67"/>
      <c r="AH18" s="44">
        <f t="shared" si="55"/>
        <v>0</v>
      </c>
      <c r="AI18" s="17"/>
      <c r="AJ18" s="44">
        <f t="shared" si="56"/>
        <v>0</v>
      </c>
      <c r="AK18" s="67"/>
      <c r="AL18" s="44">
        <f t="shared" si="57"/>
        <v>0</v>
      </c>
      <c r="AM18" s="67"/>
      <c r="AN18" s="4">
        <f t="shared" si="58"/>
        <v>0</v>
      </c>
      <c r="AO18" s="67"/>
      <c r="AP18" s="4">
        <f t="shared" si="59"/>
        <v>0</v>
      </c>
      <c r="AQ18" s="17"/>
      <c r="AR18" s="4">
        <f t="shared" si="60"/>
        <v>0</v>
      </c>
      <c r="AS18" s="67"/>
      <c r="AT18" s="4">
        <f t="shared" si="61"/>
        <v>0</v>
      </c>
      <c r="AU18" s="73">
        <f t="shared" si="62"/>
        <v>6.0096000000000052</v>
      </c>
    </row>
    <row r="19" spans="1:47" s="8" customFormat="1" x14ac:dyDescent="0.25">
      <c r="A19" s="21"/>
      <c r="B19" s="9">
        <f t="shared" si="41"/>
        <v>0</v>
      </c>
      <c r="C19" s="9"/>
      <c r="D19" s="9">
        <f t="shared" si="42"/>
        <v>0</v>
      </c>
      <c r="E19" s="10"/>
      <c r="F19" s="54" t="s">
        <v>41</v>
      </c>
      <c r="G19" s="27" t="s">
        <v>46</v>
      </c>
      <c r="H19" s="54" t="s">
        <v>57</v>
      </c>
      <c r="I19" s="9" t="s">
        <v>5</v>
      </c>
      <c r="J19" s="5">
        <f t="shared" si="43"/>
        <v>630</v>
      </c>
      <c r="K19" s="9"/>
      <c r="L19" s="9">
        <v>315</v>
      </c>
      <c r="M19" s="9">
        <f t="shared" si="44"/>
        <v>315</v>
      </c>
      <c r="N19" s="9">
        <v>2</v>
      </c>
      <c r="O19" s="72">
        <f t="shared" si="2"/>
        <v>313</v>
      </c>
      <c r="P19" s="74">
        <f t="shared" si="45"/>
        <v>31.3</v>
      </c>
      <c r="Q19" s="9">
        <f t="shared" si="63"/>
        <v>31.3</v>
      </c>
      <c r="R19" s="27">
        <f t="shared" si="47"/>
        <v>50.08</v>
      </c>
      <c r="S19" s="27"/>
      <c r="T19" s="27"/>
      <c r="U19" s="29">
        <f t="shared" si="48"/>
        <v>200.32</v>
      </c>
      <c r="V19" s="27">
        <f t="shared" si="49"/>
        <v>200.32</v>
      </c>
      <c r="W19" s="28"/>
      <c r="X19" s="13">
        <f t="shared" si="64"/>
        <v>3.0000000000000027E-2</v>
      </c>
      <c r="Y19" s="17">
        <f t="shared" si="51"/>
        <v>0.97</v>
      </c>
      <c r="Z19" s="5">
        <f t="shared" si="52"/>
        <v>275.69040000000001</v>
      </c>
      <c r="AA19" s="17"/>
      <c r="AB19" s="5">
        <f t="shared" si="53"/>
        <v>0</v>
      </c>
      <c r="AC19" s="17"/>
      <c r="AD19" s="5"/>
      <c r="AE19" s="67"/>
      <c r="AF19" s="4">
        <f t="shared" si="54"/>
        <v>0</v>
      </c>
      <c r="AG19" s="67"/>
      <c r="AH19" s="44">
        <f t="shared" si="55"/>
        <v>0</v>
      </c>
      <c r="AI19" s="17"/>
      <c r="AJ19" s="44">
        <f t="shared" si="56"/>
        <v>0</v>
      </c>
      <c r="AK19" s="67"/>
      <c r="AL19" s="44">
        <f t="shared" si="57"/>
        <v>0</v>
      </c>
      <c r="AM19" s="67"/>
      <c r="AN19" s="4">
        <f t="shared" si="58"/>
        <v>0</v>
      </c>
      <c r="AO19" s="67"/>
      <c r="AP19" s="4">
        <f t="shared" si="59"/>
        <v>0</v>
      </c>
      <c r="AQ19" s="17"/>
      <c r="AR19" s="4">
        <f t="shared" si="60"/>
        <v>0</v>
      </c>
      <c r="AS19" s="67"/>
      <c r="AT19" s="4">
        <f t="shared" si="61"/>
        <v>0</v>
      </c>
      <c r="AU19" s="73">
        <f t="shared" si="62"/>
        <v>6.0096000000000052</v>
      </c>
    </row>
    <row r="20" spans="1:47" s="8" customFormat="1" x14ac:dyDescent="0.25">
      <c r="A20" s="21"/>
      <c r="B20" s="9">
        <f t="shared" si="41"/>
        <v>0</v>
      </c>
      <c r="C20" s="9"/>
      <c r="D20" s="9">
        <f t="shared" si="42"/>
        <v>0</v>
      </c>
      <c r="E20" s="10"/>
      <c r="F20" s="54" t="s">
        <v>41</v>
      </c>
      <c r="G20" s="27" t="s">
        <v>46</v>
      </c>
      <c r="H20" s="54" t="s">
        <v>58</v>
      </c>
      <c r="I20" s="9" t="s">
        <v>1</v>
      </c>
      <c r="J20" s="5">
        <f t="shared" si="43"/>
        <v>630</v>
      </c>
      <c r="K20" s="9"/>
      <c r="L20" s="9">
        <v>315</v>
      </c>
      <c r="M20" s="9">
        <f t="shared" si="44"/>
        <v>315</v>
      </c>
      <c r="N20" s="9">
        <v>2</v>
      </c>
      <c r="O20" s="72">
        <f t="shared" si="2"/>
        <v>313</v>
      </c>
      <c r="P20" s="74">
        <f t="shared" si="45"/>
        <v>31.3</v>
      </c>
      <c r="Q20" s="9">
        <f t="shared" si="63"/>
        <v>31.3</v>
      </c>
      <c r="R20" s="27">
        <f t="shared" si="47"/>
        <v>50.08</v>
      </c>
      <c r="S20" s="27"/>
      <c r="T20" s="27"/>
      <c r="U20" s="29">
        <f t="shared" si="48"/>
        <v>200.32</v>
      </c>
      <c r="V20" s="27">
        <f t="shared" si="49"/>
        <v>200.32</v>
      </c>
      <c r="W20" s="28"/>
      <c r="X20" s="13">
        <f t="shared" si="64"/>
        <v>3.0000000000000027E-2</v>
      </c>
      <c r="Y20" s="17">
        <f t="shared" si="51"/>
        <v>0.97</v>
      </c>
      <c r="Z20" s="5">
        <f t="shared" si="52"/>
        <v>275.69040000000001</v>
      </c>
      <c r="AA20" s="17"/>
      <c r="AB20" s="5">
        <f t="shared" si="53"/>
        <v>0</v>
      </c>
      <c r="AC20" s="17"/>
      <c r="AD20" s="5"/>
      <c r="AE20" s="67"/>
      <c r="AF20" s="4">
        <f t="shared" si="54"/>
        <v>0</v>
      </c>
      <c r="AG20" s="67"/>
      <c r="AH20" s="44">
        <f t="shared" si="55"/>
        <v>0</v>
      </c>
      <c r="AI20" s="17"/>
      <c r="AJ20" s="44">
        <f t="shared" si="56"/>
        <v>0</v>
      </c>
      <c r="AK20" s="67"/>
      <c r="AL20" s="44">
        <f t="shared" si="57"/>
        <v>0</v>
      </c>
      <c r="AM20" s="67"/>
      <c r="AN20" s="4">
        <f t="shared" si="58"/>
        <v>0</v>
      </c>
      <c r="AO20" s="67"/>
      <c r="AP20" s="4">
        <f t="shared" si="59"/>
        <v>0</v>
      </c>
      <c r="AQ20" s="17"/>
      <c r="AR20" s="4">
        <f t="shared" si="60"/>
        <v>0</v>
      </c>
      <c r="AS20" s="67"/>
      <c r="AT20" s="4">
        <f t="shared" si="61"/>
        <v>0</v>
      </c>
      <c r="AU20" s="73">
        <f t="shared" si="62"/>
        <v>6.0096000000000052</v>
      </c>
    </row>
    <row r="21" spans="1:47" s="8" customFormat="1" x14ac:dyDescent="0.25">
      <c r="A21" s="21"/>
      <c r="B21" s="9">
        <f t="shared" si="41"/>
        <v>0</v>
      </c>
      <c r="C21" s="9"/>
      <c r="D21" s="9">
        <f t="shared" si="42"/>
        <v>0</v>
      </c>
      <c r="E21" s="10"/>
      <c r="F21" s="54" t="s">
        <v>41</v>
      </c>
      <c r="G21" s="27" t="s">
        <v>46</v>
      </c>
      <c r="H21" s="54" t="s">
        <v>59</v>
      </c>
      <c r="I21" s="9" t="s">
        <v>2</v>
      </c>
      <c r="J21" s="5">
        <f t="shared" si="43"/>
        <v>630</v>
      </c>
      <c r="K21" s="9"/>
      <c r="L21" s="9">
        <v>315</v>
      </c>
      <c r="M21" s="9">
        <f t="shared" si="44"/>
        <v>315</v>
      </c>
      <c r="N21" s="9">
        <v>2</v>
      </c>
      <c r="O21" s="72">
        <f t="shared" si="2"/>
        <v>313</v>
      </c>
      <c r="P21" s="74">
        <f t="shared" si="45"/>
        <v>31.3</v>
      </c>
      <c r="Q21" s="9">
        <f t="shared" si="63"/>
        <v>31.3</v>
      </c>
      <c r="R21" s="27">
        <f t="shared" si="47"/>
        <v>50.08</v>
      </c>
      <c r="S21" s="27"/>
      <c r="T21" s="27"/>
      <c r="U21" s="29">
        <f t="shared" si="48"/>
        <v>200.32</v>
      </c>
      <c r="V21" s="27">
        <f t="shared" si="49"/>
        <v>200.32</v>
      </c>
      <c r="W21" s="28"/>
      <c r="X21" s="13">
        <f>100%-Y21-AA21-AC21-AE21-AG21-AI21-AK21-AM21-AO21-AQ21</f>
        <v>3.0000000000000027E-2</v>
      </c>
      <c r="Y21" s="17">
        <f t="shared" si="51"/>
        <v>0.97</v>
      </c>
      <c r="Z21" s="5">
        <f t="shared" si="52"/>
        <v>275.69040000000001</v>
      </c>
      <c r="AA21" s="17"/>
      <c r="AB21" s="5">
        <f t="shared" si="53"/>
        <v>0</v>
      </c>
      <c r="AC21" s="17"/>
      <c r="AD21" s="5"/>
      <c r="AE21" s="67"/>
      <c r="AF21" s="4">
        <f t="shared" si="54"/>
        <v>0</v>
      </c>
      <c r="AG21" s="67"/>
      <c r="AH21" s="44">
        <f t="shared" si="55"/>
        <v>0</v>
      </c>
      <c r="AI21" s="17"/>
      <c r="AJ21" s="44">
        <f t="shared" si="56"/>
        <v>0</v>
      </c>
      <c r="AK21" s="67"/>
      <c r="AL21" s="44">
        <f t="shared" si="57"/>
        <v>0</v>
      </c>
      <c r="AM21" s="67"/>
      <c r="AN21" s="4">
        <f t="shared" si="58"/>
        <v>0</v>
      </c>
      <c r="AO21" s="67"/>
      <c r="AP21" s="4">
        <f t="shared" si="59"/>
        <v>0</v>
      </c>
      <c r="AQ21" s="17"/>
      <c r="AR21" s="4">
        <f t="shared" si="60"/>
        <v>0</v>
      </c>
      <c r="AS21" s="67"/>
      <c r="AT21" s="4">
        <f t="shared" si="61"/>
        <v>0</v>
      </c>
      <c r="AU21" s="73">
        <f t="shared" si="62"/>
        <v>6.0096000000000052</v>
      </c>
    </row>
    <row r="22" spans="1:47" s="8" customFormat="1" x14ac:dyDescent="0.25">
      <c r="A22" s="21"/>
      <c r="B22" s="9">
        <f t="shared" si="41"/>
        <v>0</v>
      </c>
      <c r="C22" s="9"/>
      <c r="D22" s="9">
        <f t="shared" si="42"/>
        <v>0</v>
      </c>
      <c r="E22" s="10"/>
      <c r="F22" s="54" t="s">
        <v>41</v>
      </c>
      <c r="G22" s="27" t="s">
        <v>46</v>
      </c>
      <c r="H22" s="54" t="s">
        <v>60</v>
      </c>
      <c r="I22" s="9" t="s">
        <v>6</v>
      </c>
      <c r="J22" s="5">
        <f t="shared" si="43"/>
        <v>630</v>
      </c>
      <c r="K22" s="9"/>
      <c r="L22" s="9">
        <v>315</v>
      </c>
      <c r="M22" s="9">
        <f t="shared" si="44"/>
        <v>315</v>
      </c>
      <c r="N22" s="9">
        <v>0</v>
      </c>
      <c r="O22" s="72">
        <f t="shared" si="2"/>
        <v>315</v>
      </c>
      <c r="P22" s="74">
        <f t="shared" si="45"/>
        <v>31.5</v>
      </c>
      <c r="Q22" s="9">
        <f t="shared" ref="Q22" si="65">(M22-N22)*10%</f>
        <v>31.5</v>
      </c>
      <c r="R22" s="27">
        <f t="shared" si="47"/>
        <v>50.400000000000006</v>
      </c>
      <c r="S22" s="27"/>
      <c r="T22" s="27"/>
      <c r="U22" s="29">
        <f t="shared" si="48"/>
        <v>201.6</v>
      </c>
      <c r="V22" s="27">
        <f t="shared" si="49"/>
        <v>201.6</v>
      </c>
      <c r="W22" s="28"/>
      <c r="X22" s="13">
        <f t="shared" ref="X22:X24" si="66">100%-Y22-AA22-AC22-AE22-AG22-AI22-AK22-AM22-AO22-AQ22</f>
        <v>3.0000000000000027E-2</v>
      </c>
      <c r="Y22" s="17">
        <f t="shared" si="51"/>
        <v>0.97</v>
      </c>
      <c r="Z22" s="5">
        <f t="shared" si="52"/>
        <v>277.452</v>
      </c>
      <c r="AA22" s="17"/>
      <c r="AB22" s="5">
        <f t="shared" si="53"/>
        <v>0</v>
      </c>
      <c r="AC22" s="17"/>
      <c r="AD22" s="5"/>
      <c r="AE22" s="67"/>
      <c r="AF22" s="4">
        <f t="shared" si="54"/>
        <v>0</v>
      </c>
      <c r="AG22" s="67"/>
      <c r="AH22" s="44">
        <f t="shared" si="55"/>
        <v>0</v>
      </c>
      <c r="AI22" s="17"/>
      <c r="AJ22" s="44">
        <f t="shared" si="56"/>
        <v>0</v>
      </c>
      <c r="AK22" s="67"/>
      <c r="AL22" s="44">
        <f t="shared" si="57"/>
        <v>0</v>
      </c>
      <c r="AM22" s="67"/>
      <c r="AN22" s="4">
        <f t="shared" si="58"/>
        <v>0</v>
      </c>
      <c r="AO22" s="67"/>
      <c r="AP22" s="4">
        <f t="shared" si="59"/>
        <v>0</v>
      </c>
      <c r="AQ22" s="17"/>
      <c r="AR22" s="4">
        <f t="shared" si="60"/>
        <v>0</v>
      </c>
      <c r="AS22" s="67"/>
      <c r="AT22" s="4">
        <f t="shared" si="61"/>
        <v>0</v>
      </c>
      <c r="AU22" s="73">
        <f t="shared" si="62"/>
        <v>6.0480000000000054</v>
      </c>
    </row>
    <row r="23" spans="1:47" s="8" customFormat="1" x14ac:dyDescent="0.25">
      <c r="A23" s="21"/>
      <c r="B23" s="9">
        <f t="shared" si="41"/>
        <v>0</v>
      </c>
      <c r="C23" s="9"/>
      <c r="D23" s="9">
        <f t="shared" si="42"/>
        <v>0</v>
      </c>
      <c r="E23" s="10"/>
      <c r="F23" s="54" t="s">
        <v>41</v>
      </c>
      <c r="G23" s="27" t="s">
        <v>46</v>
      </c>
      <c r="H23" s="54" t="s">
        <v>61</v>
      </c>
      <c r="I23" s="9" t="s">
        <v>7</v>
      </c>
      <c r="J23" s="5">
        <f t="shared" si="43"/>
        <v>630</v>
      </c>
      <c r="K23" s="9"/>
      <c r="L23" s="9">
        <v>315</v>
      </c>
      <c r="M23" s="9">
        <f t="shared" si="44"/>
        <v>315</v>
      </c>
      <c r="N23" s="9">
        <v>0</v>
      </c>
      <c r="O23" s="72">
        <f t="shared" si="2"/>
        <v>315</v>
      </c>
      <c r="P23" s="74">
        <f t="shared" si="45"/>
        <v>31.5</v>
      </c>
      <c r="Q23" s="9"/>
      <c r="R23" s="27">
        <f t="shared" si="47"/>
        <v>56.7</v>
      </c>
      <c r="S23" s="27"/>
      <c r="T23" s="27"/>
      <c r="U23" s="29">
        <f t="shared" si="48"/>
        <v>226.8</v>
      </c>
      <c r="V23" s="27">
        <f t="shared" si="49"/>
        <v>226.8</v>
      </c>
      <c r="W23" s="28"/>
      <c r="X23" s="13">
        <f t="shared" si="66"/>
        <v>3.0000000000000027E-2</v>
      </c>
      <c r="Y23" s="17">
        <f t="shared" si="51"/>
        <v>0.97</v>
      </c>
      <c r="Z23" s="5">
        <f t="shared" si="52"/>
        <v>276.69600000000003</v>
      </c>
      <c r="AA23" s="17"/>
      <c r="AB23" s="5">
        <f t="shared" si="53"/>
        <v>0</v>
      </c>
      <c r="AC23" s="17"/>
      <c r="AD23" s="5"/>
      <c r="AE23" s="67"/>
      <c r="AF23" s="4">
        <f t="shared" si="54"/>
        <v>0</v>
      </c>
      <c r="AG23" s="67"/>
      <c r="AH23" s="44">
        <f t="shared" si="55"/>
        <v>0</v>
      </c>
      <c r="AI23" s="17"/>
      <c r="AJ23" s="44">
        <f t="shared" si="56"/>
        <v>0</v>
      </c>
      <c r="AK23" s="67"/>
      <c r="AL23" s="44">
        <f t="shared" si="57"/>
        <v>0</v>
      </c>
      <c r="AM23" s="67"/>
      <c r="AN23" s="4">
        <f t="shared" si="58"/>
        <v>0</v>
      </c>
      <c r="AO23" s="67"/>
      <c r="AP23" s="4">
        <f t="shared" si="59"/>
        <v>0</v>
      </c>
      <c r="AQ23" s="17"/>
      <c r="AR23" s="4">
        <f t="shared" si="60"/>
        <v>0</v>
      </c>
      <c r="AS23" s="67"/>
      <c r="AT23" s="4">
        <f t="shared" si="61"/>
        <v>0</v>
      </c>
      <c r="AU23" s="73">
        <f t="shared" si="62"/>
        <v>6.8040000000000065</v>
      </c>
    </row>
    <row r="24" spans="1:47" s="8" customFormat="1" x14ac:dyDescent="0.25">
      <c r="A24" s="21"/>
      <c r="B24" s="9">
        <f t="shared" si="41"/>
        <v>0</v>
      </c>
      <c r="C24" s="9"/>
      <c r="D24" s="9">
        <f t="shared" si="42"/>
        <v>0</v>
      </c>
      <c r="E24" s="10"/>
      <c r="F24" s="54" t="s">
        <v>41</v>
      </c>
      <c r="G24" s="27" t="s">
        <v>46</v>
      </c>
      <c r="H24" s="54" t="s">
        <v>62</v>
      </c>
      <c r="I24" s="9" t="s">
        <v>8</v>
      </c>
      <c r="J24" s="5">
        <f t="shared" si="43"/>
        <v>630</v>
      </c>
      <c r="K24" s="9"/>
      <c r="L24" s="9">
        <v>315</v>
      </c>
      <c r="M24" s="9">
        <f t="shared" si="44"/>
        <v>315</v>
      </c>
      <c r="N24" s="9">
        <v>0</v>
      </c>
      <c r="O24" s="72">
        <f t="shared" si="2"/>
        <v>315</v>
      </c>
      <c r="P24" s="74">
        <f t="shared" si="45"/>
        <v>31.5</v>
      </c>
      <c r="Q24" s="9"/>
      <c r="R24" s="27"/>
      <c r="S24" s="27"/>
      <c r="T24" s="27"/>
      <c r="U24" s="29">
        <f t="shared" si="48"/>
        <v>283.5</v>
      </c>
      <c r="V24" s="27">
        <f t="shared" si="49"/>
        <v>283.5</v>
      </c>
      <c r="W24" s="28"/>
      <c r="X24" s="13">
        <f t="shared" si="66"/>
        <v>3.0000000000000068E-2</v>
      </c>
      <c r="Y24" s="17">
        <f t="shared" si="51"/>
        <v>0.91999999999999993</v>
      </c>
      <c r="Z24" s="5">
        <f t="shared" si="52"/>
        <v>260.82</v>
      </c>
      <c r="AA24" s="17">
        <v>0.05</v>
      </c>
      <c r="AB24" s="5">
        <f t="shared" si="53"/>
        <v>14.175000000000001</v>
      </c>
      <c r="AC24" s="17"/>
      <c r="AD24" s="5"/>
      <c r="AE24" s="67"/>
      <c r="AF24" s="4">
        <f t="shared" si="54"/>
        <v>0</v>
      </c>
      <c r="AG24" s="67"/>
      <c r="AH24" s="44">
        <f t="shared" si="55"/>
        <v>0</v>
      </c>
      <c r="AI24" s="17"/>
      <c r="AJ24" s="44">
        <f t="shared" si="56"/>
        <v>0</v>
      </c>
      <c r="AK24" s="67"/>
      <c r="AL24" s="44">
        <f t="shared" si="57"/>
        <v>0</v>
      </c>
      <c r="AM24" s="67"/>
      <c r="AN24" s="4">
        <f t="shared" si="58"/>
        <v>0</v>
      </c>
      <c r="AO24" s="67"/>
      <c r="AP24" s="4">
        <f t="shared" si="59"/>
        <v>0</v>
      </c>
      <c r="AQ24" s="17"/>
      <c r="AR24" s="4">
        <f t="shared" si="60"/>
        <v>0</v>
      </c>
      <c r="AS24" s="67"/>
      <c r="AT24" s="4">
        <f t="shared" si="61"/>
        <v>0</v>
      </c>
      <c r="AU24" s="73">
        <f t="shared" si="62"/>
        <v>8.5050000000000185</v>
      </c>
    </row>
    <row r="25" spans="1:47" s="8" customFormat="1" x14ac:dyDescent="0.25">
      <c r="A25" s="21"/>
      <c r="B25" s="9">
        <f t="shared" si="41"/>
        <v>0</v>
      </c>
      <c r="C25" s="9"/>
      <c r="D25" s="9">
        <f t="shared" si="42"/>
        <v>0</v>
      </c>
      <c r="E25" s="10"/>
      <c r="F25" s="54" t="s">
        <v>41</v>
      </c>
      <c r="G25" s="27" t="s">
        <v>46</v>
      </c>
      <c r="H25" s="54" t="s">
        <v>63</v>
      </c>
      <c r="I25" s="9" t="s">
        <v>9</v>
      </c>
      <c r="J25" s="5">
        <f t="shared" si="43"/>
        <v>630</v>
      </c>
      <c r="K25" s="9"/>
      <c r="L25" s="9">
        <v>315</v>
      </c>
      <c r="M25" s="9">
        <f t="shared" si="44"/>
        <v>315</v>
      </c>
      <c r="N25" s="9"/>
      <c r="O25" s="72">
        <f t="shared" si="2"/>
        <v>315</v>
      </c>
      <c r="P25" s="74">
        <f t="shared" ref="P25" si="67">(M25-N25)*15%</f>
        <v>47.25</v>
      </c>
      <c r="Q25" s="9"/>
      <c r="R25" s="27"/>
      <c r="S25" s="27"/>
      <c r="T25" s="27"/>
      <c r="U25" s="29">
        <f t="shared" si="48"/>
        <v>267.75</v>
      </c>
      <c r="V25" s="27">
        <f t="shared" si="49"/>
        <v>267.75</v>
      </c>
      <c r="W25" s="28"/>
      <c r="X25" s="13">
        <f>100%-Y25-AA25-AC25-AE25-AG25-AI25-AK25-AM25-AO25-AQ25</f>
        <v>3.0000000000000068E-2</v>
      </c>
      <c r="Y25" s="17">
        <f t="shared" si="51"/>
        <v>0.91999999999999993</v>
      </c>
      <c r="Z25" s="5">
        <f t="shared" si="52"/>
        <v>246.32999999999998</v>
      </c>
      <c r="AA25" s="17">
        <v>0.05</v>
      </c>
      <c r="AB25" s="5">
        <f t="shared" si="53"/>
        <v>13.387500000000001</v>
      </c>
      <c r="AC25" s="17"/>
      <c r="AD25" s="5"/>
      <c r="AE25" s="67"/>
      <c r="AF25" s="4">
        <f t="shared" si="54"/>
        <v>0</v>
      </c>
      <c r="AG25" s="67"/>
      <c r="AH25" s="44">
        <f t="shared" si="55"/>
        <v>0</v>
      </c>
      <c r="AI25" s="17"/>
      <c r="AJ25" s="44">
        <f t="shared" si="56"/>
        <v>0</v>
      </c>
      <c r="AK25" s="67"/>
      <c r="AL25" s="44">
        <f t="shared" si="57"/>
        <v>0</v>
      </c>
      <c r="AM25" s="67"/>
      <c r="AN25" s="4">
        <f t="shared" si="58"/>
        <v>0</v>
      </c>
      <c r="AO25" s="67"/>
      <c r="AP25" s="4">
        <f t="shared" si="59"/>
        <v>0</v>
      </c>
      <c r="AQ25" s="17"/>
      <c r="AR25" s="4">
        <f t="shared" si="60"/>
        <v>0</v>
      </c>
      <c r="AS25" s="67"/>
      <c r="AT25" s="4">
        <f t="shared" si="61"/>
        <v>0</v>
      </c>
      <c r="AU25" s="73">
        <f t="shared" si="62"/>
        <v>8.0325000000000184</v>
      </c>
    </row>
    <row r="26" spans="1:47" s="8" customFormat="1" x14ac:dyDescent="0.25">
      <c r="A26" s="21"/>
      <c r="B26" s="9"/>
      <c r="C26" s="9"/>
      <c r="D26" s="9"/>
      <c r="E26" s="10"/>
      <c r="F26" s="54" t="s">
        <v>41</v>
      </c>
      <c r="G26" s="27" t="s">
        <v>46</v>
      </c>
      <c r="H26" s="54" t="s">
        <v>64</v>
      </c>
      <c r="I26" s="9" t="s">
        <v>10</v>
      </c>
      <c r="J26" s="9">
        <f t="shared" si="43"/>
        <v>630</v>
      </c>
      <c r="K26" s="5"/>
      <c r="L26" s="9">
        <v>315</v>
      </c>
      <c r="M26" s="9">
        <f t="shared" si="44"/>
        <v>315</v>
      </c>
      <c r="N26" s="5"/>
      <c r="O26" s="72">
        <f t="shared" si="2"/>
        <v>315</v>
      </c>
      <c r="P26" s="74">
        <f t="shared" ref="P26:P28" si="68">(M26-N26)*5%</f>
        <v>15.75</v>
      </c>
      <c r="Q26" s="9"/>
      <c r="R26" s="27"/>
      <c r="S26" s="27">
        <f t="shared" ref="S26:S28" si="69">(O26-P26)*7%</f>
        <v>20.947500000000002</v>
      </c>
      <c r="T26" s="27"/>
      <c r="U26" s="29">
        <f t="shared" si="48"/>
        <v>278.30250000000001</v>
      </c>
      <c r="V26" s="27">
        <f t="shared" si="49"/>
        <v>278.30250000000001</v>
      </c>
      <c r="W26" s="28"/>
      <c r="X26" s="13">
        <f t="shared" ref="X26:X28" si="70">100%-Y26-AA26-AC26-AE26-AG26-AI26-AK26-AM26-AO26-AQ26</f>
        <v>9.9999999999999811E-3</v>
      </c>
      <c r="Y26" s="17">
        <f t="shared" ref="Y26:Y28" si="71">(99%-AA26-AC26-AE26-AG26-AI26-AK26-AM26-AO26-AQ26)</f>
        <v>0.78</v>
      </c>
      <c r="Z26" s="9">
        <f t="shared" si="52"/>
        <v>217.07595000000001</v>
      </c>
      <c r="AA26" s="17">
        <v>0.15</v>
      </c>
      <c r="AB26" s="5">
        <f t="shared" si="53"/>
        <v>41.745375000000003</v>
      </c>
      <c r="AC26" s="17">
        <v>0.06</v>
      </c>
      <c r="AD26" s="9">
        <f t="shared" ref="AD26:AD28" si="72">V26*AC26</f>
        <v>16.698149999999998</v>
      </c>
      <c r="AE26" s="67"/>
      <c r="AF26" s="4">
        <f t="shared" si="54"/>
        <v>0</v>
      </c>
      <c r="AG26" s="67"/>
      <c r="AH26" s="57">
        <f t="shared" si="55"/>
        <v>0</v>
      </c>
      <c r="AI26" s="17"/>
      <c r="AJ26" s="57">
        <f t="shared" si="56"/>
        <v>0</v>
      </c>
      <c r="AK26" s="67"/>
      <c r="AL26" s="57">
        <f t="shared" si="57"/>
        <v>0</v>
      </c>
      <c r="AM26" s="67"/>
      <c r="AN26" s="9">
        <f t="shared" si="58"/>
        <v>0</v>
      </c>
      <c r="AO26" s="67"/>
      <c r="AP26" s="10">
        <f t="shared" si="59"/>
        <v>0</v>
      </c>
      <c r="AQ26" s="17"/>
      <c r="AR26" s="10">
        <f t="shared" si="60"/>
        <v>0</v>
      </c>
      <c r="AS26" s="67"/>
      <c r="AT26" s="10">
        <f t="shared" si="61"/>
        <v>0</v>
      </c>
      <c r="AU26" s="73">
        <f t="shared" si="62"/>
        <v>2.783024999999995</v>
      </c>
    </row>
    <row r="27" spans="1:47" s="8" customFormat="1" x14ac:dyDescent="0.25">
      <c r="A27" s="21"/>
      <c r="B27" s="9">
        <f t="shared" ref="B27:B28" si="73">IF(A27="",0,((U27)*10%))</f>
        <v>0</v>
      </c>
      <c r="C27" s="9"/>
      <c r="D27" s="9">
        <f t="shared" si="42"/>
        <v>0</v>
      </c>
      <c r="E27" s="10"/>
      <c r="F27" s="54" t="s">
        <v>41</v>
      </c>
      <c r="G27" s="27" t="s">
        <v>46</v>
      </c>
      <c r="H27" s="54" t="s">
        <v>65</v>
      </c>
      <c r="I27" s="9" t="s">
        <v>11</v>
      </c>
      <c r="J27" s="5">
        <f t="shared" si="43"/>
        <v>630</v>
      </c>
      <c r="K27" s="9"/>
      <c r="L27" s="9">
        <v>315</v>
      </c>
      <c r="M27" s="9"/>
      <c r="N27" s="9">
        <v>0</v>
      </c>
      <c r="O27" s="72">
        <f t="shared" si="2"/>
        <v>0</v>
      </c>
      <c r="P27" s="74">
        <f t="shared" si="68"/>
        <v>0</v>
      </c>
      <c r="Q27" s="9"/>
      <c r="R27" s="27"/>
      <c r="S27" s="27">
        <f t="shared" si="69"/>
        <v>0</v>
      </c>
      <c r="T27" s="27"/>
      <c r="U27" s="29">
        <f t="shared" si="48"/>
        <v>0</v>
      </c>
      <c r="V27" s="27">
        <f t="shared" si="49"/>
        <v>0</v>
      </c>
      <c r="W27" s="28"/>
      <c r="X27" s="13">
        <f t="shared" si="70"/>
        <v>9.9999999999999811E-3</v>
      </c>
      <c r="Y27" s="17">
        <f t="shared" si="71"/>
        <v>0.78</v>
      </c>
      <c r="Z27" s="9">
        <f t="shared" si="52"/>
        <v>0</v>
      </c>
      <c r="AA27" s="17">
        <v>0.15</v>
      </c>
      <c r="AB27" s="5">
        <f t="shared" si="53"/>
        <v>0</v>
      </c>
      <c r="AC27" s="17">
        <v>0.06</v>
      </c>
      <c r="AD27" s="9">
        <f t="shared" si="72"/>
        <v>0</v>
      </c>
      <c r="AE27" s="17"/>
      <c r="AF27" s="4">
        <f t="shared" si="54"/>
        <v>0</v>
      </c>
      <c r="AG27" s="17"/>
      <c r="AH27" s="44">
        <f t="shared" si="55"/>
        <v>0</v>
      </c>
      <c r="AI27" s="17"/>
      <c r="AJ27" s="44">
        <f t="shared" si="56"/>
        <v>0</v>
      </c>
      <c r="AK27" s="17"/>
      <c r="AL27" s="44">
        <f t="shared" si="57"/>
        <v>0</v>
      </c>
      <c r="AM27" s="17"/>
      <c r="AN27" s="5">
        <f t="shared" si="58"/>
        <v>0</v>
      </c>
      <c r="AO27" s="17"/>
      <c r="AP27" s="4">
        <f t="shared" si="59"/>
        <v>0</v>
      </c>
      <c r="AQ27" s="17"/>
      <c r="AR27" s="4">
        <f t="shared" si="60"/>
        <v>0</v>
      </c>
      <c r="AS27" s="17"/>
      <c r="AT27" s="4">
        <f t="shared" si="61"/>
        <v>0</v>
      </c>
      <c r="AU27" s="73">
        <f t="shared" si="62"/>
        <v>0</v>
      </c>
    </row>
    <row r="28" spans="1:47" s="8" customFormat="1" x14ac:dyDescent="0.25">
      <c r="A28" s="21"/>
      <c r="B28" s="9">
        <f t="shared" si="73"/>
        <v>0</v>
      </c>
      <c r="C28" s="9"/>
      <c r="D28" s="9">
        <f t="shared" si="42"/>
        <v>0</v>
      </c>
      <c r="E28" s="10"/>
      <c r="F28" s="54" t="s">
        <v>41</v>
      </c>
      <c r="G28" s="27" t="s">
        <v>46</v>
      </c>
      <c r="H28" s="54" t="s">
        <v>66</v>
      </c>
      <c r="I28" s="9" t="s">
        <v>12</v>
      </c>
      <c r="J28" s="5">
        <f t="shared" si="43"/>
        <v>630</v>
      </c>
      <c r="K28" s="9"/>
      <c r="L28" s="9">
        <v>315</v>
      </c>
      <c r="M28" s="9"/>
      <c r="N28" s="9">
        <v>0</v>
      </c>
      <c r="O28" s="72">
        <f t="shared" si="2"/>
        <v>0</v>
      </c>
      <c r="P28" s="74">
        <f t="shared" si="68"/>
        <v>0</v>
      </c>
      <c r="Q28" s="9"/>
      <c r="R28" s="27"/>
      <c r="S28" s="27">
        <f t="shared" si="69"/>
        <v>0</v>
      </c>
      <c r="T28" s="27"/>
      <c r="U28" s="29">
        <f t="shared" si="48"/>
        <v>0</v>
      </c>
      <c r="V28" s="27">
        <f t="shared" si="49"/>
        <v>0</v>
      </c>
      <c r="W28" s="28"/>
      <c r="X28" s="13">
        <f t="shared" si="70"/>
        <v>9.9999999999999811E-3</v>
      </c>
      <c r="Y28" s="17">
        <f t="shared" si="71"/>
        <v>0.78</v>
      </c>
      <c r="Z28" s="9">
        <f t="shared" si="52"/>
        <v>0</v>
      </c>
      <c r="AA28" s="17">
        <v>0.15</v>
      </c>
      <c r="AB28" s="5">
        <f t="shared" si="53"/>
        <v>0</v>
      </c>
      <c r="AC28" s="17">
        <v>0.06</v>
      </c>
      <c r="AD28" s="9">
        <f t="shared" si="72"/>
        <v>0</v>
      </c>
      <c r="AE28" s="17"/>
      <c r="AF28" s="4">
        <f t="shared" si="54"/>
        <v>0</v>
      </c>
      <c r="AG28" s="17"/>
      <c r="AH28" s="44">
        <f t="shared" si="55"/>
        <v>0</v>
      </c>
      <c r="AI28" s="17"/>
      <c r="AJ28" s="44">
        <f t="shared" si="56"/>
        <v>0</v>
      </c>
      <c r="AK28" s="17"/>
      <c r="AL28" s="44">
        <f t="shared" si="57"/>
        <v>0</v>
      </c>
      <c r="AM28" s="17"/>
      <c r="AN28" s="5">
        <f t="shared" si="58"/>
        <v>0</v>
      </c>
      <c r="AO28" s="17"/>
      <c r="AP28" s="4">
        <f t="shared" si="59"/>
        <v>0</v>
      </c>
      <c r="AQ28" s="17"/>
      <c r="AR28" s="4">
        <f t="shared" si="60"/>
        <v>0</v>
      </c>
      <c r="AS28" s="17"/>
      <c r="AT28" s="4">
        <f t="shared" si="61"/>
        <v>0</v>
      </c>
      <c r="AU28" s="73">
        <f t="shared" si="62"/>
        <v>0</v>
      </c>
    </row>
    <row r="29" spans="1:47" x14ac:dyDescent="0.25">
      <c r="A29" s="21"/>
      <c r="C29" s="9"/>
      <c r="D29" s="10"/>
      <c r="E29" s="10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Z29" s="5"/>
      <c r="AB29" s="5"/>
      <c r="AC29" s="17"/>
      <c r="AD29" s="5"/>
      <c r="AH29" s="44"/>
      <c r="AJ29" s="44"/>
      <c r="AL29" s="44"/>
      <c r="AN29" s="5"/>
      <c r="AP29" s="5"/>
      <c r="AR29" s="5"/>
      <c r="AT29" s="5"/>
    </row>
    <row r="30" spans="1:47" s="8" customFormat="1" x14ac:dyDescent="0.25">
      <c r="A30" s="21" t="s">
        <v>22</v>
      </c>
      <c r="B30" s="9">
        <f>IF(A30="",0,((U30)*10%))</f>
        <v>33.807360000000003</v>
      </c>
      <c r="C30" s="9"/>
      <c r="D30" s="9">
        <f t="shared" ref="D30:D42" si="74">IF(C30="",0,((U30)*5%))</f>
        <v>0</v>
      </c>
      <c r="E30" s="10"/>
      <c r="F30" s="54" t="s">
        <v>32</v>
      </c>
      <c r="G30" s="27" t="s">
        <v>46</v>
      </c>
      <c r="H30" s="54" t="s">
        <v>55</v>
      </c>
      <c r="I30" s="5" t="s">
        <v>3</v>
      </c>
      <c r="J30" s="5">
        <f t="shared" ref="J30:J41" si="75">L30*2</f>
        <v>1136</v>
      </c>
      <c r="K30" s="5"/>
      <c r="L30" s="9">
        <v>568</v>
      </c>
      <c r="M30" s="9">
        <f t="shared" ref="M30:M42" si="76">L30</f>
        <v>568</v>
      </c>
      <c r="N30" s="9"/>
      <c r="O30" s="72">
        <f t="shared" si="2"/>
        <v>568</v>
      </c>
      <c r="P30" s="74">
        <f t="shared" ref="P30:P37" si="77">(M30-N30)*10%</f>
        <v>56.800000000000004</v>
      </c>
      <c r="Q30" s="9">
        <f t="shared" ref="Q30:Q35" si="78">(M30-N30)*10%</f>
        <v>56.800000000000004</v>
      </c>
      <c r="R30" s="27">
        <f t="shared" ref="R30:R36" si="79">(M30-N30-P30-Q30)*20%</f>
        <v>90.88</v>
      </c>
      <c r="S30" s="27">
        <f t="shared" ref="S30:S38" si="80">(O30-P30-Q30-R30)*7%</f>
        <v>25.446400000000001</v>
      </c>
      <c r="T30" s="27"/>
      <c r="U30" s="29">
        <f t="shared" ref="U30:U42" si="81">M30-N30-P30-Q30-R30-S30</f>
        <v>338.0736</v>
      </c>
      <c r="V30" s="27">
        <f t="shared" ref="V30:V42" si="82">U30-B30-D30</f>
        <v>304.26623999999998</v>
      </c>
      <c r="W30" s="28"/>
      <c r="X30" s="13">
        <f t="shared" ref="X30:X33" si="83">100%-Y30-AA30-AC30-AE30-AG30-AI30-AK30-AM30-AO30-AQ30</f>
        <v>3.0000000000000027E-2</v>
      </c>
      <c r="Y30" s="17">
        <f t="shared" ref="Y30:Y42" si="84">(97%-AA30-AC30-AE30-AG30-AI30-AK30-AM30-AO30-AQ30)</f>
        <v>0.97</v>
      </c>
      <c r="Z30" s="5">
        <f t="shared" ref="Z30:Z42" si="85">(V30*Y30)+Q30+R30</f>
        <v>442.81825279999998</v>
      </c>
      <c r="AA30" s="17"/>
      <c r="AB30" s="5">
        <f t="shared" ref="AB30:AB42" si="86">(V30*AA30)</f>
        <v>0</v>
      </c>
      <c r="AC30" s="17"/>
      <c r="AD30" s="5"/>
      <c r="AE30" s="67"/>
      <c r="AF30" s="4">
        <f t="shared" ref="AF30:AF42" si="87">V30*AE30</f>
        <v>0</v>
      </c>
      <c r="AG30" s="67"/>
      <c r="AH30" s="44">
        <f t="shared" ref="AH30:AH42" si="88">V30*AG30</f>
        <v>0</v>
      </c>
      <c r="AI30" s="17"/>
      <c r="AJ30" s="44">
        <f t="shared" ref="AJ30:AJ42" si="89">V30*AI30</f>
        <v>0</v>
      </c>
      <c r="AK30" s="67"/>
      <c r="AL30" s="44">
        <f t="shared" ref="AL30:AL42" si="90">V30*AK30</f>
        <v>0</v>
      </c>
      <c r="AM30" s="67"/>
      <c r="AN30" s="4">
        <f t="shared" ref="AN30:AN42" si="91">V30*AM30</f>
        <v>0</v>
      </c>
      <c r="AO30" s="67"/>
      <c r="AP30" s="4">
        <f t="shared" ref="AP30:AP42" si="92">V30*AO30</f>
        <v>0</v>
      </c>
      <c r="AQ30" s="17"/>
      <c r="AR30" s="4">
        <f t="shared" ref="AR30:AR42" si="93">V30*AQ30</f>
        <v>0</v>
      </c>
      <c r="AS30" s="67"/>
      <c r="AT30" s="4">
        <f t="shared" ref="AT30:AT42" si="94">X30*AS30</f>
        <v>0</v>
      </c>
      <c r="AU30" s="73">
        <f t="shared" ref="AU30:AU42" si="95">V30*X30</f>
        <v>9.1279872000000069</v>
      </c>
    </row>
    <row r="31" spans="1:47" s="8" customFormat="1" x14ac:dyDescent="0.25">
      <c r="A31" s="21" t="s">
        <v>22</v>
      </c>
      <c r="B31" s="9">
        <f>IF(A31="",0,((U31)*10%))</f>
        <v>33.807360000000003</v>
      </c>
      <c r="C31" s="9"/>
      <c r="D31" s="9">
        <f t="shared" si="74"/>
        <v>0</v>
      </c>
      <c r="E31" s="10"/>
      <c r="F31" s="54" t="s">
        <v>32</v>
      </c>
      <c r="G31" s="27" t="s">
        <v>46</v>
      </c>
      <c r="H31" s="54" t="s">
        <v>56</v>
      </c>
      <c r="I31" s="9" t="s">
        <v>4</v>
      </c>
      <c r="J31" s="5">
        <f t="shared" si="75"/>
        <v>1136</v>
      </c>
      <c r="K31" s="9"/>
      <c r="L31" s="9">
        <v>568</v>
      </c>
      <c r="M31" s="9">
        <f t="shared" si="76"/>
        <v>568</v>
      </c>
      <c r="N31" s="9">
        <v>0</v>
      </c>
      <c r="O31" s="72">
        <f t="shared" si="2"/>
        <v>568</v>
      </c>
      <c r="P31" s="74">
        <f t="shared" si="77"/>
        <v>56.800000000000004</v>
      </c>
      <c r="Q31" s="9">
        <f t="shared" si="78"/>
        <v>56.800000000000004</v>
      </c>
      <c r="R31" s="27">
        <f t="shared" si="79"/>
        <v>90.88</v>
      </c>
      <c r="S31" s="27">
        <f t="shared" si="80"/>
        <v>25.446400000000001</v>
      </c>
      <c r="T31" s="27"/>
      <c r="U31" s="29">
        <f t="shared" si="81"/>
        <v>338.0736</v>
      </c>
      <c r="V31" s="27">
        <f t="shared" si="82"/>
        <v>304.26623999999998</v>
      </c>
      <c r="W31" s="28"/>
      <c r="X31" s="13">
        <f t="shared" si="83"/>
        <v>3.0000000000000027E-2</v>
      </c>
      <c r="Y31" s="17">
        <f t="shared" si="84"/>
        <v>0.97</v>
      </c>
      <c r="Z31" s="5">
        <f t="shared" si="85"/>
        <v>442.81825279999998</v>
      </c>
      <c r="AA31" s="17"/>
      <c r="AB31" s="5">
        <f t="shared" si="86"/>
        <v>0</v>
      </c>
      <c r="AC31" s="17"/>
      <c r="AD31" s="5"/>
      <c r="AE31" s="67"/>
      <c r="AF31" s="4">
        <f t="shared" si="87"/>
        <v>0</v>
      </c>
      <c r="AG31" s="67"/>
      <c r="AH31" s="44">
        <f t="shared" si="88"/>
        <v>0</v>
      </c>
      <c r="AI31" s="17"/>
      <c r="AJ31" s="44">
        <f t="shared" si="89"/>
        <v>0</v>
      </c>
      <c r="AK31" s="67"/>
      <c r="AL31" s="44">
        <f t="shared" si="90"/>
        <v>0</v>
      </c>
      <c r="AM31" s="67"/>
      <c r="AN31" s="4">
        <f t="shared" si="91"/>
        <v>0</v>
      </c>
      <c r="AO31" s="67"/>
      <c r="AP31" s="4">
        <f t="shared" si="92"/>
        <v>0</v>
      </c>
      <c r="AQ31" s="17"/>
      <c r="AR31" s="4">
        <f t="shared" si="93"/>
        <v>0</v>
      </c>
      <c r="AS31" s="67"/>
      <c r="AT31" s="4">
        <f t="shared" si="94"/>
        <v>0</v>
      </c>
      <c r="AU31" s="73">
        <f t="shared" si="95"/>
        <v>9.1279872000000069</v>
      </c>
    </row>
    <row r="32" spans="1:47" s="8" customFormat="1" x14ac:dyDescent="0.25">
      <c r="A32" s="21" t="s">
        <v>22</v>
      </c>
      <c r="B32" s="9">
        <f>IF(A32="",0,((U32)*10%))</f>
        <v>33.807360000000003</v>
      </c>
      <c r="C32" s="9"/>
      <c r="D32" s="9">
        <f t="shared" si="74"/>
        <v>0</v>
      </c>
      <c r="E32" s="10"/>
      <c r="F32" s="54" t="s">
        <v>32</v>
      </c>
      <c r="G32" s="27" t="s">
        <v>46</v>
      </c>
      <c r="H32" s="54" t="s">
        <v>57</v>
      </c>
      <c r="I32" s="9" t="s">
        <v>5</v>
      </c>
      <c r="J32" s="5">
        <f t="shared" si="75"/>
        <v>1136</v>
      </c>
      <c r="K32" s="9"/>
      <c r="L32" s="9">
        <v>568</v>
      </c>
      <c r="M32" s="9">
        <f t="shared" si="76"/>
        <v>568</v>
      </c>
      <c r="N32" s="9">
        <v>0</v>
      </c>
      <c r="O32" s="72">
        <f t="shared" si="2"/>
        <v>568</v>
      </c>
      <c r="P32" s="74">
        <f t="shared" si="77"/>
        <v>56.800000000000004</v>
      </c>
      <c r="Q32" s="9">
        <f t="shared" si="78"/>
        <v>56.800000000000004</v>
      </c>
      <c r="R32" s="27">
        <f t="shared" si="79"/>
        <v>90.88</v>
      </c>
      <c r="S32" s="27">
        <f t="shared" si="80"/>
        <v>25.446400000000001</v>
      </c>
      <c r="T32" s="27"/>
      <c r="U32" s="29">
        <f t="shared" si="81"/>
        <v>338.0736</v>
      </c>
      <c r="V32" s="27">
        <f t="shared" si="82"/>
        <v>304.26623999999998</v>
      </c>
      <c r="W32" s="28"/>
      <c r="X32" s="13">
        <f t="shared" si="83"/>
        <v>3.0000000000000027E-2</v>
      </c>
      <c r="Y32" s="17">
        <f t="shared" si="84"/>
        <v>0.97</v>
      </c>
      <c r="Z32" s="5">
        <f t="shared" si="85"/>
        <v>442.81825279999998</v>
      </c>
      <c r="AA32" s="17"/>
      <c r="AB32" s="5">
        <f t="shared" si="86"/>
        <v>0</v>
      </c>
      <c r="AC32" s="67"/>
      <c r="AD32" s="5"/>
      <c r="AE32" s="67"/>
      <c r="AF32" s="4">
        <f t="shared" si="87"/>
        <v>0</v>
      </c>
      <c r="AG32" s="67"/>
      <c r="AH32" s="44">
        <f t="shared" si="88"/>
        <v>0</v>
      </c>
      <c r="AI32" s="17"/>
      <c r="AJ32" s="44">
        <f t="shared" si="89"/>
        <v>0</v>
      </c>
      <c r="AK32" s="67"/>
      <c r="AL32" s="44">
        <f t="shared" si="90"/>
        <v>0</v>
      </c>
      <c r="AM32" s="67"/>
      <c r="AN32" s="4">
        <f t="shared" si="91"/>
        <v>0</v>
      </c>
      <c r="AO32" s="67"/>
      <c r="AP32" s="4">
        <f t="shared" si="92"/>
        <v>0</v>
      </c>
      <c r="AQ32" s="17"/>
      <c r="AR32" s="4">
        <f t="shared" si="93"/>
        <v>0</v>
      </c>
      <c r="AS32" s="67"/>
      <c r="AT32" s="4">
        <f t="shared" si="94"/>
        <v>0</v>
      </c>
      <c r="AU32" s="73">
        <f t="shared" si="95"/>
        <v>9.1279872000000069</v>
      </c>
    </row>
    <row r="33" spans="1:47" s="8" customFormat="1" x14ac:dyDescent="0.25">
      <c r="A33" s="21" t="s">
        <v>22</v>
      </c>
      <c r="B33" s="9">
        <f>IF(A33="",0,((U33)*10%))</f>
        <v>33.807360000000003</v>
      </c>
      <c r="C33" s="9"/>
      <c r="D33" s="9">
        <f t="shared" si="74"/>
        <v>0</v>
      </c>
      <c r="E33" s="10"/>
      <c r="F33" s="54" t="s">
        <v>32</v>
      </c>
      <c r="G33" s="27" t="s">
        <v>46</v>
      </c>
      <c r="H33" s="54" t="s">
        <v>58</v>
      </c>
      <c r="I33" s="9" t="s">
        <v>2</v>
      </c>
      <c r="J33" s="5">
        <f t="shared" si="75"/>
        <v>1136</v>
      </c>
      <c r="K33" s="9"/>
      <c r="L33" s="9">
        <v>568</v>
      </c>
      <c r="M33" s="9">
        <f t="shared" si="76"/>
        <v>568</v>
      </c>
      <c r="N33" s="9">
        <v>0</v>
      </c>
      <c r="O33" s="72">
        <f t="shared" si="2"/>
        <v>568</v>
      </c>
      <c r="P33" s="74">
        <f t="shared" si="77"/>
        <v>56.800000000000004</v>
      </c>
      <c r="Q33" s="9">
        <f t="shared" si="78"/>
        <v>56.800000000000004</v>
      </c>
      <c r="R33" s="27">
        <f t="shared" si="79"/>
        <v>90.88</v>
      </c>
      <c r="S33" s="27">
        <f t="shared" si="80"/>
        <v>25.446400000000001</v>
      </c>
      <c r="T33" s="27"/>
      <c r="U33" s="29">
        <f t="shared" si="81"/>
        <v>338.0736</v>
      </c>
      <c r="V33" s="27">
        <f t="shared" si="82"/>
        <v>304.26623999999998</v>
      </c>
      <c r="W33" s="28"/>
      <c r="X33" s="13">
        <f t="shared" si="83"/>
        <v>3.0000000000000027E-2</v>
      </c>
      <c r="Y33" s="17">
        <f t="shared" si="84"/>
        <v>0.97</v>
      </c>
      <c r="Z33" s="5">
        <f t="shared" si="85"/>
        <v>442.81825279999998</v>
      </c>
      <c r="AA33" s="17"/>
      <c r="AB33" s="5">
        <f t="shared" si="86"/>
        <v>0</v>
      </c>
      <c r="AC33" s="67"/>
      <c r="AD33" s="5"/>
      <c r="AE33" s="67"/>
      <c r="AF33" s="4">
        <f t="shared" si="87"/>
        <v>0</v>
      </c>
      <c r="AG33" s="67"/>
      <c r="AH33" s="44">
        <f t="shared" si="88"/>
        <v>0</v>
      </c>
      <c r="AI33" s="17"/>
      <c r="AJ33" s="44">
        <f t="shared" si="89"/>
        <v>0</v>
      </c>
      <c r="AK33" s="67"/>
      <c r="AL33" s="44">
        <f t="shared" si="90"/>
        <v>0</v>
      </c>
      <c r="AM33" s="67"/>
      <c r="AN33" s="4">
        <f t="shared" si="91"/>
        <v>0</v>
      </c>
      <c r="AO33" s="67"/>
      <c r="AP33" s="4">
        <f t="shared" si="92"/>
        <v>0</v>
      </c>
      <c r="AQ33" s="17"/>
      <c r="AR33" s="4">
        <f t="shared" si="93"/>
        <v>0</v>
      </c>
      <c r="AS33" s="67"/>
      <c r="AT33" s="4">
        <f t="shared" si="94"/>
        <v>0</v>
      </c>
      <c r="AU33" s="73">
        <f t="shared" si="95"/>
        <v>9.1279872000000069</v>
      </c>
    </row>
    <row r="34" spans="1:47" s="8" customFormat="1" x14ac:dyDescent="0.25">
      <c r="A34" s="21" t="s">
        <v>22</v>
      </c>
      <c r="B34" s="9">
        <f>IF(A34="",0,((U34)*10%))</f>
        <v>33.807360000000003</v>
      </c>
      <c r="C34" s="9"/>
      <c r="D34" s="9">
        <f t="shared" si="74"/>
        <v>0</v>
      </c>
      <c r="E34" s="10"/>
      <c r="F34" s="54" t="s">
        <v>32</v>
      </c>
      <c r="G34" s="27" t="s">
        <v>46</v>
      </c>
      <c r="H34" s="54" t="s">
        <v>59</v>
      </c>
      <c r="I34" s="9" t="s">
        <v>2</v>
      </c>
      <c r="J34" s="5">
        <f t="shared" si="75"/>
        <v>1136</v>
      </c>
      <c r="K34" s="9"/>
      <c r="L34" s="9">
        <v>568</v>
      </c>
      <c r="M34" s="9">
        <f t="shared" si="76"/>
        <v>568</v>
      </c>
      <c r="N34" s="9"/>
      <c r="O34" s="72">
        <f t="shared" si="2"/>
        <v>568</v>
      </c>
      <c r="P34" s="74">
        <f t="shared" si="77"/>
        <v>56.800000000000004</v>
      </c>
      <c r="Q34" s="9">
        <f t="shared" si="78"/>
        <v>56.800000000000004</v>
      </c>
      <c r="R34" s="27">
        <f t="shared" si="79"/>
        <v>90.88</v>
      </c>
      <c r="S34" s="27">
        <f t="shared" si="80"/>
        <v>25.446400000000001</v>
      </c>
      <c r="T34" s="27"/>
      <c r="U34" s="29">
        <f t="shared" si="81"/>
        <v>338.0736</v>
      </c>
      <c r="V34" s="27">
        <f t="shared" si="82"/>
        <v>304.26623999999998</v>
      </c>
      <c r="W34" s="28"/>
      <c r="X34" s="13">
        <f>100%-Y34-AA34-AC34-AE34-AG34-AI34-AK34-AM34-AO34-AQ34</f>
        <v>3.0000000000000027E-2</v>
      </c>
      <c r="Y34" s="17">
        <f t="shared" si="84"/>
        <v>0.97</v>
      </c>
      <c r="Z34" s="5">
        <f t="shared" si="85"/>
        <v>442.81825279999998</v>
      </c>
      <c r="AA34" s="17"/>
      <c r="AB34" s="5">
        <f t="shared" si="86"/>
        <v>0</v>
      </c>
      <c r="AC34" s="67"/>
      <c r="AD34" s="5"/>
      <c r="AE34" s="67"/>
      <c r="AF34" s="4">
        <f t="shared" si="87"/>
        <v>0</v>
      </c>
      <c r="AG34" s="67"/>
      <c r="AH34" s="44">
        <f t="shared" si="88"/>
        <v>0</v>
      </c>
      <c r="AI34" s="17"/>
      <c r="AJ34" s="44">
        <f t="shared" si="89"/>
        <v>0</v>
      </c>
      <c r="AK34" s="67"/>
      <c r="AL34" s="44">
        <f t="shared" si="90"/>
        <v>0</v>
      </c>
      <c r="AM34" s="67"/>
      <c r="AN34" s="4">
        <f t="shared" si="91"/>
        <v>0</v>
      </c>
      <c r="AO34" s="67"/>
      <c r="AP34" s="4">
        <f t="shared" si="92"/>
        <v>0</v>
      </c>
      <c r="AQ34" s="17"/>
      <c r="AR34" s="4">
        <f t="shared" si="93"/>
        <v>0</v>
      </c>
      <c r="AS34" s="67"/>
      <c r="AT34" s="4">
        <f t="shared" si="94"/>
        <v>0</v>
      </c>
      <c r="AU34" s="73">
        <f t="shared" si="95"/>
        <v>9.1279872000000069</v>
      </c>
    </row>
    <row r="35" spans="1:47" s="8" customFormat="1" x14ac:dyDescent="0.25">
      <c r="A35" s="21"/>
      <c r="B35" s="9">
        <f t="shared" ref="B35:B42" si="96">IF(A35="",0,((U35)*10%))</f>
        <v>0</v>
      </c>
      <c r="C35" s="9"/>
      <c r="D35" s="9">
        <f t="shared" si="74"/>
        <v>0</v>
      </c>
      <c r="E35" s="10"/>
      <c r="F35" s="54" t="s">
        <v>32</v>
      </c>
      <c r="G35" s="27" t="s">
        <v>46</v>
      </c>
      <c r="H35" s="54" t="s">
        <v>60</v>
      </c>
      <c r="I35" s="9" t="s">
        <v>7</v>
      </c>
      <c r="J35" s="5">
        <f t="shared" si="75"/>
        <v>1136</v>
      </c>
      <c r="K35" s="9"/>
      <c r="L35" s="9">
        <v>568</v>
      </c>
      <c r="M35" s="9">
        <f t="shared" si="76"/>
        <v>568</v>
      </c>
      <c r="N35" s="9">
        <v>0</v>
      </c>
      <c r="O35" s="72">
        <f t="shared" si="2"/>
        <v>568</v>
      </c>
      <c r="P35" s="74">
        <f t="shared" si="77"/>
        <v>56.800000000000004</v>
      </c>
      <c r="Q35" s="9">
        <f t="shared" si="78"/>
        <v>56.800000000000004</v>
      </c>
      <c r="R35" s="27">
        <f t="shared" si="79"/>
        <v>90.88</v>
      </c>
      <c r="S35" s="27">
        <f t="shared" si="80"/>
        <v>25.446400000000001</v>
      </c>
      <c r="T35" s="27"/>
      <c r="U35" s="29">
        <f t="shared" si="81"/>
        <v>338.0736</v>
      </c>
      <c r="V35" s="27">
        <f t="shared" si="82"/>
        <v>338.0736</v>
      </c>
      <c r="W35" s="28"/>
      <c r="X35" s="13">
        <f t="shared" ref="X35:X37" si="97">100%-Y35-AA35-AC35-AE35-AG35-AI35-AK35-AM35-AO35-AQ35</f>
        <v>3.0000000000000027E-2</v>
      </c>
      <c r="Y35" s="17">
        <f t="shared" si="84"/>
        <v>0.97</v>
      </c>
      <c r="Z35" s="5">
        <f t="shared" si="85"/>
        <v>475.61139200000002</v>
      </c>
      <c r="AA35" s="17"/>
      <c r="AB35" s="5">
        <f t="shared" si="86"/>
        <v>0</v>
      </c>
      <c r="AC35" s="67"/>
      <c r="AD35" s="5"/>
      <c r="AE35" s="67"/>
      <c r="AF35" s="4">
        <f t="shared" si="87"/>
        <v>0</v>
      </c>
      <c r="AG35" s="67"/>
      <c r="AH35" s="44">
        <f t="shared" si="88"/>
        <v>0</v>
      </c>
      <c r="AI35" s="17"/>
      <c r="AJ35" s="44">
        <f t="shared" si="89"/>
        <v>0</v>
      </c>
      <c r="AK35" s="67"/>
      <c r="AL35" s="44">
        <f t="shared" si="90"/>
        <v>0</v>
      </c>
      <c r="AM35" s="67"/>
      <c r="AN35" s="4">
        <f t="shared" si="91"/>
        <v>0</v>
      </c>
      <c r="AO35" s="67"/>
      <c r="AP35" s="4">
        <f t="shared" si="92"/>
        <v>0</v>
      </c>
      <c r="AQ35" s="17"/>
      <c r="AR35" s="4">
        <f t="shared" si="93"/>
        <v>0</v>
      </c>
      <c r="AS35" s="67"/>
      <c r="AT35" s="4">
        <f t="shared" si="94"/>
        <v>0</v>
      </c>
      <c r="AU35" s="73">
        <f t="shared" si="95"/>
        <v>10.142208000000009</v>
      </c>
    </row>
    <row r="36" spans="1:47" s="8" customFormat="1" x14ac:dyDescent="0.25">
      <c r="A36" s="21"/>
      <c r="B36" s="9">
        <f t="shared" si="96"/>
        <v>0</v>
      </c>
      <c r="C36" s="9"/>
      <c r="D36" s="9">
        <f t="shared" si="74"/>
        <v>0</v>
      </c>
      <c r="E36" s="10"/>
      <c r="F36" s="54" t="s">
        <v>32</v>
      </c>
      <c r="G36" s="27" t="s">
        <v>46</v>
      </c>
      <c r="H36" s="54" t="s">
        <v>61</v>
      </c>
      <c r="I36" s="9" t="s">
        <v>7</v>
      </c>
      <c r="J36" s="5">
        <f t="shared" si="75"/>
        <v>1136</v>
      </c>
      <c r="K36" s="9"/>
      <c r="L36" s="9">
        <v>568</v>
      </c>
      <c r="M36" s="9">
        <f t="shared" si="76"/>
        <v>568</v>
      </c>
      <c r="N36" s="9">
        <v>0</v>
      </c>
      <c r="O36" s="72">
        <f t="shared" si="2"/>
        <v>568</v>
      </c>
      <c r="P36" s="74">
        <f t="shared" si="77"/>
        <v>56.800000000000004</v>
      </c>
      <c r="Q36" s="9"/>
      <c r="R36" s="27">
        <f t="shared" si="79"/>
        <v>102.24000000000001</v>
      </c>
      <c r="S36" s="27">
        <f t="shared" si="80"/>
        <v>28.627200000000002</v>
      </c>
      <c r="T36" s="27"/>
      <c r="U36" s="29">
        <f t="shared" si="81"/>
        <v>380.33279999999996</v>
      </c>
      <c r="V36" s="27">
        <f t="shared" si="82"/>
        <v>380.33279999999996</v>
      </c>
      <c r="W36" s="28"/>
      <c r="X36" s="13">
        <f t="shared" si="97"/>
        <v>3.0000000000000027E-2</v>
      </c>
      <c r="Y36" s="17">
        <f t="shared" si="84"/>
        <v>0.97</v>
      </c>
      <c r="Z36" s="5">
        <f t="shared" si="85"/>
        <v>471.16281599999996</v>
      </c>
      <c r="AA36" s="17"/>
      <c r="AB36" s="5">
        <f t="shared" si="86"/>
        <v>0</v>
      </c>
      <c r="AC36" s="67"/>
      <c r="AD36" s="5"/>
      <c r="AE36" s="67"/>
      <c r="AF36" s="4">
        <f t="shared" si="87"/>
        <v>0</v>
      </c>
      <c r="AG36" s="67"/>
      <c r="AH36" s="44">
        <f t="shared" si="88"/>
        <v>0</v>
      </c>
      <c r="AI36" s="17"/>
      <c r="AJ36" s="44">
        <f t="shared" si="89"/>
        <v>0</v>
      </c>
      <c r="AK36" s="67"/>
      <c r="AL36" s="44">
        <f t="shared" si="90"/>
        <v>0</v>
      </c>
      <c r="AM36" s="67"/>
      <c r="AN36" s="4">
        <f t="shared" si="91"/>
        <v>0</v>
      </c>
      <c r="AO36" s="67"/>
      <c r="AP36" s="4">
        <f t="shared" si="92"/>
        <v>0</v>
      </c>
      <c r="AQ36" s="17"/>
      <c r="AR36" s="4">
        <f t="shared" si="93"/>
        <v>0</v>
      </c>
      <c r="AS36" s="67"/>
      <c r="AT36" s="4">
        <f t="shared" si="94"/>
        <v>0</v>
      </c>
      <c r="AU36" s="73">
        <f t="shared" si="95"/>
        <v>11.409984000000009</v>
      </c>
    </row>
    <row r="37" spans="1:47" s="8" customFormat="1" x14ac:dyDescent="0.25">
      <c r="A37" s="21"/>
      <c r="B37" s="9">
        <f t="shared" si="96"/>
        <v>0</v>
      </c>
      <c r="C37" s="9"/>
      <c r="D37" s="9">
        <f t="shared" si="74"/>
        <v>0</v>
      </c>
      <c r="E37" s="10"/>
      <c r="F37" s="54" t="s">
        <v>32</v>
      </c>
      <c r="G37" s="27" t="s">
        <v>46</v>
      </c>
      <c r="H37" s="54" t="s">
        <v>62</v>
      </c>
      <c r="I37" s="9" t="s">
        <v>8</v>
      </c>
      <c r="J37" s="5">
        <f t="shared" si="75"/>
        <v>1136</v>
      </c>
      <c r="K37" s="9"/>
      <c r="L37" s="9">
        <v>568</v>
      </c>
      <c r="M37" s="9">
        <f t="shared" si="76"/>
        <v>568</v>
      </c>
      <c r="N37" s="9">
        <v>0</v>
      </c>
      <c r="O37" s="72">
        <f t="shared" si="2"/>
        <v>568</v>
      </c>
      <c r="P37" s="74">
        <f t="shared" si="77"/>
        <v>56.800000000000004</v>
      </c>
      <c r="Q37" s="9"/>
      <c r="R37" s="27"/>
      <c r="S37" s="27">
        <f t="shared" si="80"/>
        <v>35.784000000000006</v>
      </c>
      <c r="T37" s="27"/>
      <c r="U37" s="29">
        <f t="shared" si="81"/>
        <v>475.416</v>
      </c>
      <c r="V37" s="27">
        <f t="shared" si="82"/>
        <v>475.416</v>
      </c>
      <c r="W37" s="28"/>
      <c r="X37" s="13">
        <f t="shared" si="97"/>
        <v>3.0000000000000068E-2</v>
      </c>
      <c r="Y37" s="17">
        <f t="shared" si="84"/>
        <v>0.91999999999999993</v>
      </c>
      <c r="Z37" s="5">
        <f t="shared" si="85"/>
        <v>437.38271999999995</v>
      </c>
      <c r="AA37" s="17">
        <v>0.05</v>
      </c>
      <c r="AB37" s="5">
        <f t="shared" si="86"/>
        <v>23.770800000000001</v>
      </c>
      <c r="AC37" s="67"/>
      <c r="AD37" s="5"/>
      <c r="AE37" s="67"/>
      <c r="AF37" s="4">
        <f t="shared" si="87"/>
        <v>0</v>
      </c>
      <c r="AG37" s="67"/>
      <c r="AH37" s="44">
        <f t="shared" si="88"/>
        <v>0</v>
      </c>
      <c r="AI37" s="17"/>
      <c r="AJ37" s="44">
        <f t="shared" si="89"/>
        <v>0</v>
      </c>
      <c r="AK37" s="67"/>
      <c r="AL37" s="44">
        <f t="shared" si="90"/>
        <v>0</v>
      </c>
      <c r="AM37" s="67"/>
      <c r="AN37" s="4">
        <f t="shared" si="91"/>
        <v>0</v>
      </c>
      <c r="AO37" s="67"/>
      <c r="AP37" s="4">
        <f t="shared" si="92"/>
        <v>0</v>
      </c>
      <c r="AQ37" s="17"/>
      <c r="AR37" s="4">
        <f t="shared" si="93"/>
        <v>0</v>
      </c>
      <c r="AS37" s="67"/>
      <c r="AT37" s="4">
        <f t="shared" si="94"/>
        <v>0</v>
      </c>
      <c r="AU37" s="73">
        <f t="shared" si="95"/>
        <v>14.262480000000032</v>
      </c>
    </row>
    <row r="38" spans="1:47" s="8" customFormat="1" x14ac:dyDescent="0.25">
      <c r="A38" s="21"/>
      <c r="B38" s="9">
        <f t="shared" si="96"/>
        <v>0</v>
      </c>
      <c r="C38" s="9"/>
      <c r="D38" s="9">
        <f t="shared" si="74"/>
        <v>0</v>
      </c>
      <c r="E38" s="10"/>
      <c r="F38" s="54" t="s">
        <v>32</v>
      </c>
      <c r="G38" s="27" t="s">
        <v>46</v>
      </c>
      <c r="H38" s="54" t="s">
        <v>63</v>
      </c>
      <c r="I38" s="9" t="s">
        <v>9</v>
      </c>
      <c r="J38" s="5">
        <f t="shared" si="75"/>
        <v>1136</v>
      </c>
      <c r="K38" s="9"/>
      <c r="L38" s="9">
        <v>568</v>
      </c>
      <c r="M38" s="9">
        <f t="shared" si="76"/>
        <v>568</v>
      </c>
      <c r="N38" s="9"/>
      <c r="O38" s="72">
        <f t="shared" si="2"/>
        <v>568</v>
      </c>
      <c r="P38" s="74">
        <f t="shared" ref="P38" si="98">(M38-N38)*15%</f>
        <v>85.2</v>
      </c>
      <c r="Q38" s="9"/>
      <c r="R38" s="27"/>
      <c r="S38" s="27">
        <f t="shared" si="80"/>
        <v>33.796000000000006</v>
      </c>
      <c r="T38" s="27"/>
      <c r="U38" s="29">
        <f t="shared" si="81"/>
        <v>449.00400000000002</v>
      </c>
      <c r="V38" s="27">
        <f t="shared" si="82"/>
        <v>449.00400000000002</v>
      </c>
      <c r="W38" s="28"/>
      <c r="X38" s="13">
        <f>100%-Y38-AA38-AC38-AE38-AG38-AI38-AK38-AM38-AO38-AQ38</f>
        <v>3.0000000000000068E-2</v>
      </c>
      <c r="Y38" s="17">
        <f t="shared" si="84"/>
        <v>0.91999999999999993</v>
      </c>
      <c r="Z38" s="5">
        <f t="shared" si="85"/>
        <v>413.08367999999996</v>
      </c>
      <c r="AA38" s="17">
        <v>0.05</v>
      </c>
      <c r="AB38" s="5">
        <f t="shared" si="86"/>
        <v>22.450200000000002</v>
      </c>
      <c r="AC38" s="67"/>
      <c r="AD38" s="5"/>
      <c r="AE38" s="67"/>
      <c r="AF38" s="4">
        <f t="shared" si="87"/>
        <v>0</v>
      </c>
      <c r="AG38" s="67"/>
      <c r="AH38" s="44">
        <f t="shared" si="88"/>
        <v>0</v>
      </c>
      <c r="AI38" s="17"/>
      <c r="AJ38" s="44">
        <f t="shared" si="89"/>
        <v>0</v>
      </c>
      <c r="AK38" s="67"/>
      <c r="AL38" s="44">
        <f t="shared" si="90"/>
        <v>0</v>
      </c>
      <c r="AM38" s="67"/>
      <c r="AN38" s="4">
        <f t="shared" si="91"/>
        <v>0</v>
      </c>
      <c r="AO38" s="67"/>
      <c r="AP38" s="4">
        <f t="shared" si="92"/>
        <v>0</v>
      </c>
      <c r="AQ38" s="17"/>
      <c r="AR38" s="4">
        <f t="shared" si="93"/>
        <v>0</v>
      </c>
      <c r="AS38" s="67"/>
      <c r="AT38" s="4">
        <f t="shared" si="94"/>
        <v>0</v>
      </c>
      <c r="AU38" s="73">
        <f t="shared" si="95"/>
        <v>13.470120000000032</v>
      </c>
    </row>
    <row r="39" spans="1:47" s="8" customFormat="1" x14ac:dyDescent="0.25">
      <c r="A39" s="21"/>
      <c r="B39" s="9"/>
      <c r="C39" s="9"/>
      <c r="D39" s="9"/>
      <c r="E39" s="10"/>
      <c r="F39" s="54" t="s">
        <v>32</v>
      </c>
      <c r="G39" s="27" t="s">
        <v>46</v>
      </c>
      <c r="H39" s="54" t="s">
        <v>64</v>
      </c>
      <c r="I39" s="9" t="s">
        <v>10</v>
      </c>
      <c r="J39" s="9">
        <f t="shared" si="75"/>
        <v>1136</v>
      </c>
      <c r="K39" s="5"/>
      <c r="L39" s="9">
        <v>568</v>
      </c>
      <c r="M39" s="9"/>
      <c r="N39" s="5"/>
      <c r="O39" s="72">
        <f t="shared" si="2"/>
        <v>0</v>
      </c>
      <c r="P39" s="74">
        <f t="shared" ref="P39:P41" si="99">(M39-N39)*5%</f>
        <v>0</v>
      </c>
      <c r="Q39" s="9"/>
      <c r="R39" s="27"/>
      <c r="S39" s="27">
        <f>(O39-P39)*7%</f>
        <v>0</v>
      </c>
      <c r="T39" s="27"/>
      <c r="U39" s="29">
        <f t="shared" si="81"/>
        <v>0</v>
      </c>
      <c r="V39" s="27">
        <f t="shared" si="82"/>
        <v>0</v>
      </c>
      <c r="W39" s="28"/>
      <c r="X39" s="13">
        <f t="shared" ref="X39:X42" si="100">100%-Y39-AA39-AC39-AE39-AG39-AI39-AK39-AM39-AO39-AQ39</f>
        <v>9.9999999999999811E-3</v>
      </c>
      <c r="Y39" s="17">
        <f t="shared" ref="Y39:Y41" si="101">(99%-AA39-AC39-AE39-AG39-AI39-AK39-AM39-AO39-AQ39)</f>
        <v>0.78</v>
      </c>
      <c r="Z39" s="9">
        <f t="shared" si="85"/>
        <v>0</v>
      </c>
      <c r="AA39" s="17">
        <v>0.15</v>
      </c>
      <c r="AB39" s="5">
        <f t="shared" si="86"/>
        <v>0</v>
      </c>
      <c r="AC39" s="17">
        <v>0.06</v>
      </c>
      <c r="AD39" s="9">
        <f t="shared" ref="AD39:AD41" si="102">V39*AC39</f>
        <v>0</v>
      </c>
      <c r="AE39" s="67"/>
      <c r="AF39" s="4">
        <f t="shared" si="87"/>
        <v>0</v>
      </c>
      <c r="AG39" s="67"/>
      <c r="AH39" s="57">
        <f t="shared" si="88"/>
        <v>0</v>
      </c>
      <c r="AI39" s="17"/>
      <c r="AJ39" s="57">
        <f t="shared" si="89"/>
        <v>0</v>
      </c>
      <c r="AK39" s="67"/>
      <c r="AL39" s="57">
        <f t="shared" si="90"/>
        <v>0</v>
      </c>
      <c r="AM39" s="67"/>
      <c r="AN39" s="9">
        <f t="shared" si="91"/>
        <v>0</v>
      </c>
      <c r="AO39" s="67"/>
      <c r="AP39" s="10">
        <f t="shared" si="92"/>
        <v>0</v>
      </c>
      <c r="AQ39" s="17"/>
      <c r="AR39" s="10">
        <f t="shared" si="93"/>
        <v>0</v>
      </c>
      <c r="AS39" s="67"/>
      <c r="AT39" s="10">
        <f t="shared" si="94"/>
        <v>0</v>
      </c>
      <c r="AU39" s="73">
        <f t="shared" si="95"/>
        <v>0</v>
      </c>
    </row>
    <row r="40" spans="1:47" s="8" customFormat="1" x14ac:dyDescent="0.25">
      <c r="A40" s="21"/>
      <c r="B40" s="9">
        <f t="shared" si="96"/>
        <v>0</v>
      </c>
      <c r="C40" s="9"/>
      <c r="D40" s="9">
        <f t="shared" si="74"/>
        <v>0</v>
      </c>
      <c r="E40" s="10"/>
      <c r="F40" s="54" t="s">
        <v>32</v>
      </c>
      <c r="G40" s="27" t="s">
        <v>46</v>
      </c>
      <c r="H40" s="54" t="s">
        <v>65</v>
      </c>
      <c r="I40" s="9" t="s">
        <v>11</v>
      </c>
      <c r="J40" s="5">
        <f t="shared" si="75"/>
        <v>1136</v>
      </c>
      <c r="K40" s="9"/>
      <c r="L40" s="9">
        <v>568</v>
      </c>
      <c r="M40" s="9"/>
      <c r="N40" s="9">
        <v>0</v>
      </c>
      <c r="O40" s="72">
        <f t="shared" si="2"/>
        <v>0</v>
      </c>
      <c r="P40" s="74">
        <f t="shared" si="99"/>
        <v>0</v>
      </c>
      <c r="Q40" s="9"/>
      <c r="R40" s="27"/>
      <c r="S40" s="27">
        <f t="shared" ref="S40:S41" si="103">(O40-P40)*7%</f>
        <v>0</v>
      </c>
      <c r="T40" s="27"/>
      <c r="U40" s="29">
        <f t="shared" si="81"/>
        <v>0</v>
      </c>
      <c r="V40" s="27">
        <f t="shared" si="82"/>
        <v>0</v>
      </c>
      <c r="W40" s="28"/>
      <c r="X40" s="13">
        <f t="shared" si="100"/>
        <v>9.9999999999999811E-3</v>
      </c>
      <c r="Y40" s="17">
        <f t="shared" si="101"/>
        <v>0.78</v>
      </c>
      <c r="Z40" s="9">
        <f t="shared" si="85"/>
        <v>0</v>
      </c>
      <c r="AA40" s="17">
        <v>0.15</v>
      </c>
      <c r="AB40" s="5">
        <f t="shared" si="86"/>
        <v>0</v>
      </c>
      <c r="AC40" s="17">
        <v>0.06</v>
      </c>
      <c r="AD40" s="9">
        <f t="shared" si="102"/>
        <v>0</v>
      </c>
      <c r="AE40" s="17"/>
      <c r="AF40" s="4">
        <f t="shared" si="87"/>
        <v>0</v>
      </c>
      <c r="AG40" s="17"/>
      <c r="AH40" s="44">
        <f t="shared" si="88"/>
        <v>0</v>
      </c>
      <c r="AI40" s="17"/>
      <c r="AJ40" s="44">
        <f t="shared" si="89"/>
        <v>0</v>
      </c>
      <c r="AK40" s="17"/>
      <c r="AL40" s="44">
        <f t="shared" si="90"/>
        <v>0</v>
      </c>
      <c r="AM40" s="17"/>
      <c r="AN40" s="5">
        <f t="shared" si="91"/>
        <v>0</v>
      </c>
      <c r="AO40" s="17"/>
      <c r="AP40" s="4">
        <f t="shared" si="92"/>
        <v>0</v>
      </c>
      <c r="AQ40" s="17"/>
      <c r="AR40" s="4">
        <f t="shared" si="93"/>
        <v>0</v>
      </c>
      <c r="AS40" s="17"/>
      <c r="AT40" s="4">
        <f t="shared" si="94"/>
        <v>0</v>
      </c>
      <c r="AU40" s="73">
        <f t="shared" si="95"/>
        <v>0</v>
      </c>
    </row>
    <row r="41" spans="1:47" s="8" customFormat="1" x14ac:dyDescent="0.25">
      <c r="A41" s="21"/>
      <c r="B41" s="9">
        <f t="shared" si="96"/>
        <v>0</v>
      </c>
      <c r="C41" s="9"/>
      <c r="D41" s="9">
        <f t="shared" si="74"/>
        <v>0</v>
      </c>
      <c r="E41" s="10"/>
      <c r="F41" s="54" t="s">
        <v>32</v>
      </c>
      <c r="G41" s="27" t="s">
        <v>46</v>
      </c>
      <c r="H41" s="54" t="s">
        <v>66</v>
      </c>
      <c r="I41" s="9" t="s">
        <v>12</v>
      </c>
      <c r="J41" s="5">
        <f t="shared" si="75"/>
        <v>1136</v>
      </c>
      <c r="K41" s="9"/>
      <c r="L41" s="9">
        <v>568</v>
      </c>
      <c r="M41" s="9"/>
      <c r="N41" s="9">
        <v>0</v>
      </c>
      <c r="O41" s="72">
        <f t="shared" si="2"/>
        <v>0</v>
      </c>
      <c r="P41" s="74">
        <f t="shared" si="99"/>
        <v>0</v>
      </c>
      <c r="Q41" s="9"/>
      <c r="R41" s="27"/>
      <c r="S41" s="27">
        <f t="shared" si="103"/>
        <v>0</v>
      </c>
      <c r="T41" s="27"/>
      <c r="U41" s="29">
        <f t="shared" si="81"/>
        <v>0</v>
      </c>
      <c r="V41" s="27">
        <f t="shared" si="82"/>
        <v>0</v>
      </c>
      <c r="W41" s="28"/>
      <c r="X41" s="13">
        <f t="shared" ref="X41" si="104">100%-Y41-AA41-AC41-AE41-AG41-AI41-AK41-AM41-AO41-AQ41</f>
        <v>9.9999999999999811E-3</v>
      </c>
      <c r="Y41" s="17">
        <f t="shared" si="101"/>
        <v>0.78</v>
      </c>
      <c r="Z41" s="9">
        <f t="shared" si="85"/>
        <v>0</v>
      </c>
      <c r="AA41" s="17">
        <v>0.15</v>
      </c>
      <c r="AB41" s="5">
        <f t="shared" si="86"/>
        <v>0</v>
      </c>
      <c r="AC41" s="17">
        <v>0.06</v>
      </c>
      <c r="AD41" s="9">
        <f t="shared" si="102"/>
        <v>0</v>
      </c>
      <c r="AE41" s="17"/>
      <c r="AF41" s="4">
        <f t="shared" si="87"/>
        <v>0</v>
      </c>
      <c r="AG41" s="17"/>
      <c r="AH41" s="44">
        <f t="shared" si="88"/>
        <v>0</v>
      </c>
      <c r="AI41" s="17"/>
      <c r="AJ41" s="44">
        <f t="shared" si="89"/>
        <v>0</v>
      </c>
      <c r="AK41" s="17"/>
      <c r="AL41" s="44">
        <f t="shared" si="90"/>
        <v>0</v>
      </c>
      <c r="AM41" s="17"/>
      <c r="AN41" s="5">
        <f t="shared" si="91"/>
        <v>0</v>
      </c>
      <c r="AO41" s="17"/>
      <c r="AP41" s="4">
        <f t="shared" si="92"/>
        <v>0</v>
      </c>
      <c r="AQ41" s="17"/>
      <c r="AR41" s="4">
        <f t="shared" si="93"/>
        <v>0</v>
      </c>
      <c r="AS41" s="17"/>
      <c r="AT41" s="4">
        <f t="shared" si="94"/>
        <v>0</v>
      </c>
      <c r="AU41" s="73">
        <f t="shared" si="95"/>
        <v>0</v>
      </c>
    </row>
    <row r="42" spans="1:47" s="8" customFormat="1" x14ac:dyDescent="0.25">
      <c r="A42" s="21"/>
      <c r="B42" s="9">
        <f t="shared" si="96"/>
        <v>0</v>
      </c>
      <c r="C42" s="9"/>
      <c r="D42" s="9">
        <f t="shared" si="74"/>
        <v>0</v>
      </c>
      <c r="E42" s="10"/>
      <c r="F42" s="54" t="s">
        <v>32</v>
      </c>
      <c r="G42" s="27" t="s">
        <v>46</v>
      </c>
      <c r="H42" s="54" t="s">
        <v>71</v>
      </c>
      <c r="I42" s="9" t="s">
        <v>7</v>
      </c>
      <c r="J42" s="5">
        <f t="shared" ref="J42" si="105">L42</f>
        <v>1000</v>
      </c>
      <c r="K42" s="9"/>
      <c r="L42" s="9">
        <v>1000</v>
      </c>
      <c r="M42" s="9">
        <f t="shared" si="76"/>
        <v>1000</v>
      </c>
      <c r="N42" s="9">
        <v>0</v>
      </c>
      <c r="O42" s="9"/>
      <c r="P42" s="9"/>
      <c r="Q42" s="9"/>
      <c r="R42" s="27"/>
      <c r="S42" s="27"/>
      <c r="T42" s="27"/>
      <c r="U42" s="29">
        <f t="shared" si="81"/>
        <v>1000</v>
      </c>
      <c r="V42" s="27">
        <f t="shared" si="82"/>
        <v>1000</v>
      </c>
      <c r="W42" s="28"/>
      <c r="X42" s="13">
        <f t="shared" si="100"/>
        <v>3.0000000000000027E-2</v>
      </c>
      <c r="Y42" s="17">
        <f t="shared" si="84"/>
        <v>0.97</v>
      </c>
      <c r="Z42" s="5">
        <f t="shared" si="85"/>
        <v>970</v>
      </c>
      <c r="AA42" s="17"/>
      <c r="AB42" s="5">
        <f t="shared" si="86"/>
        <v>0</v>
      </c>
      <c r="AC42" s="67"/>
      <c r="AD42" s="5"/>
      <c r="AE42" s="67"/>
      <c r="AF42" s="4">
        <f t="shared" si="87"/>
        <v>0</v>
      </c>
      <c r="AG42" s="67"/>
      <c r="AH42" s="44">
        <f t="shared" si="88"/>
        <v>0</v>
      </c>
      <c r="AI42" s="17"/>
      <c r="AJ42" s="44">
        <f t="shared" si="89"/>
        <v>0</v>
      </c>
      <c r="AK42" s="67"/>
      <c r="AL42" s="44">
        <f t="shared" si="90"/>
        <v>0</v>
      </c>
      <c r="AM42" s="67"/>
      <c r="AN42" s="4">
        <f t="shared" si="91"/>
        <v>0</v>
      </c>
      <c r="AO42" s="67"/>
      <c r="AP42" s="4">
        <f t="shared" si="92"/>
        <v>0</v>
      </c>
      <c r="AQ42" s="17"/>
      <c r="AR42" s="4">
        <f t="shared" si="93"/>
        <v>0</v>
      </c>
      <c r="AS42" s="67"/>
      <c r="AT42" s="4">
        <f t="shared" si="94"/>
        <v>0</v>
      </c>
      <c r="AU42" s="73">
        <f t="shared" si="95"/>
        <v>30.000000000000028</v>
      </c>
    </row>
    <row r="43" spans="1:47" x14ac:dyDescent="0.25">
      <c r="A43" s="21"/>
      <c r="C43" s="9"/>
      <c r="D43" s="10"/>
      <c r="E43" s="10"/>
      <c r="F43" s="8"/>
      <c r="G43" s="8"/>
      <c r="H43" s="8"/>
      <c r="I43" s="9"/>
      <c r="J43" s="9"/>
      <c r="K43" s="9"/>
      <c r="L43" s="9"/>
      <c r="M43" s="9"/>
      <c r="N43" s="9"/>
      <c r="O43" s="9"/>
      <c r="P43" s="9"/>
      <c r="Q43" s="9"/>
      <c r="Z43" s="5"/>
      <c r="AB43" s="5"/>
      <c r="AD43" s="5"/>
      <c r="AH43" s="44"/>
      <c r="AJ43" s="44"/>
      <c r="AL43" s="44"/>
      <c r="AN43" s="5"/>
      <c r="AP43" s="5"/>
      <c r="AR43" s="5"/>
      <c r="AT43" s="5"/>
    </row>
    <row r="44" spans="1:47" s="8" customFormat="1" x14ac:dyDescent="0.25">
      <c r="A44" s="21" t="s">
        <v>37</v>
      </c>
      <c r="B44" s="9">
        <f t="shared" ref="B44:B52" si="106">IF(A44="",0,((U44)*10%))</f>
        <v>10.59456</v>
      </c>
      <c r="C44" s="9"/>
      <c r="D44" s="9">
        <f t="shared" ref="D44:D52" si="107">IF(C44="",0,((U44)*5%))</f>
        <v>0</v>
      </c>
      <c r="E44" s="10"/>
      <c r="F44" s="54" t="s">
        <v>36</v>
      </c>
      <c r="G44" s="27" t="s">
        <v>46</v>
      </c>
      <c r="H44" s="54" t="s">
        <v>55</v>
      </c>
      <c r="I44" s="5" t="s">
        <v>3</v>
      </c>
      <c r="J44" s="5">
        <f t="shared" ref="J44:J55" si="108">L44*2</f>
        <v>360</v>
      </c>
      <c r="K44" s="5"/>
      <c r="L44" s="9">
        <v>180</v>
      </c>
      <c r="M44" s="9">
        <f t="shared" ref="M44:M54" si="109">L44</f>
        <v>180</v>
      </c>
      <c r="N44" s="9">
        <v>2</v>
      </c>
      <c r="O44" s="72">
        <f t="shared" ref="O44:O55" si="110">M44-N44</f>
        <v>178</v>
      </c>
      <c r="P44" s="74">
        <f t="shared" ref="P44:P51" si="111">(M44-N44)*10%</f>
        <v>17.8</v>
      </c>
      <c r="Q44" s="9">
        <f t="shared" ref="Q44:Q49" si="112">(M44-N44)*10%</f>
        <v>17.8</v>
      </c>
      <c r="R44" s="27">
        <f t="shared" ref="R44:R50" si="113">(M44-N44-P44-Q44)*20%</f>
        <v>28.479999999999997</v>
      </c>
      <c r="S44" s="27">
        <f t="shared" ref="S44:S52" si="114">(O44-P44-Q44-R44)*7%</f>
        <v>7.9744000000000002</v>
      </c>
      <c r="T44" s="27">
        <f t="shared" ref="T44:T51" si="115">(M44-N44-P44-Q44-R44-S44)*10%</f>
        <v>10.59456</v>
      </c>
      <c r="U44" s="29">
        <f t="shared" ref="U44:U55" si="116">M44-N44-P44-Q44-R44-S44</f>
        <v>105.94559999999998</v>
      </c>
      <c r="V44" s="27">
        <f t="shared" ref="V44:V55" si="117">U44-B44-D44</f>
        <v>95.351039999999983</v>
      </c>
      <c r="W44" s="28"/>
      <c r="X44" s="13">
        <f t="shared" ref="X44:X47" si="118">100%-Y44-AA44-AC44-AE44-AG44-AI44-AK44-AM44-AO44-AQ44</f>
        <v>3.0000000000000027E-2</v>
      </c>
      <c r="Y44" s="17">
        <f t="shared" ref="Y44:Y52" si="119">(97%-AA44-AC44-AE44-AG44-AI44-AK44-AM44-AO44-AQ44)</f>
        <v>0.97</v>
      </c>
      <c r="Z44" s="5">
        <f t="shared" ref="Z44:Z55" si="120">(V44*Y44)+Q44+R44</f>
        <v>138.77050879999999</v>
      </c>
      <c r="AA44" s="17"/>
      <c r="AB44" s="5">
        <f t="shared" ref="AB44:AB55" si="121">(V44*AA44)</f>
        <v>0</v>
      </c>
      <c r="AC44" s="67"/>
      <c r="AD44" s="5"/>
      <c r="AE44" s="67"/>
      <c r="AF44" s="4">
        <f t="shared" ref="AF44:AF55" si="122">V44*AE44</f>
        <v>0</v>
      </c>
      <c r="AG44" s="67"/>
      <c r="AH44" s="44">
        <f t="shared" ref="AH44:AH55" si="123">V44*AG44</f>
        <v>0</v>
      </c>
      <c r="AI44" s="17"/>
      <c r="AJ44" s="44">
        <f t="shared" ref="AJ44:AJ55" si="124">V44*AI44</f>
        <v>0</v>
      </c>
      <c r="AK44" s="67"/>
      <c r="AL44" s="44">
        <f t="shared" ref="AL44:AL55" si="125">V44*AK44</f>
        <v>0</v>
      </c>
      <c r="AM44" s="67"/>
      <c r="AN44" s="4">
        <f t="shared" ref="AN44:AN55" si="126">V44*AM44</f>
        <v>0</v>
      </c>
      <c r="AO44" s="67"/>
      <c r="AP44" s="4">
        <f t="shared" ref="AP44:AP55" si="127">V44*AO44</f>
        <v>0</v>
      </c>
      <c r="AQ44" s="17"/>
      <c r="AR44" s="4">
        <f t="shared" ref="AR44:AR55" si="128">V44*AQ44</f>
        <v>0</v>
      </c>
      <c r="AS44" s="67"/>
      <c r="AT44" s="4">
        <f t="shared" ref="AT44:AT55" si="129">X44*AS44</f>
        <v>0</v>
      </c>
      <c r="AU44" s="73">
        <f t="shared" ref="AU44:AU55" si="130">V44*X44</f>
        <v>2.8605312000000018</v>
      </c>
    </row>
    <row r="45" spans="1:47" s="8" customFormat="1" x14ac:dyDescent="0.25">
      <c r="A45" s="21" t="s">
        <v>37</v>
      </c>
      <c r="B45" s="9">
        <f t="shared" si="106"/>
        <v>10.59456</v>
      </c>
      <c r="C45" s="9"/>
      <c r="D45" s="9">
        <f t="shared" si="107"/>
        <v>0</v>
      </c>
      <c r="E45" s="10"/>
      <c r="F45" s="54" t="s">
        <v>36</v>
      </c>
      <c r="G45" s="27" t="s">
        <v>46</v>
      </c>
      <c r="H45" s="54" t="s">
        <v>56</v>
      </c>
      <c r="I45" s="9" t="s">
        <v>4</v>
      </c>
      <c r="J45" s="5">
        <f t="shared" si="108"/>
        <v>360</v>
      </c>
      <c r="K45" s="9"/>
      <c r="L45" s="9">
        <v>180</v>
      </c>
      <c r="M45" s="9">
        <f t="shared" si="109"/>
        <v>180</v>
      </c>
      <c r="N45" s="9">
        <v>2</v>
      </c>
      <c r="O45" s="72">
        <f t="shared" si="110"/>
        <v>178</v>
      </c>
      <c r="P45" s="74">
        <f t="shared" si="111"/>
        <v>17.8</v>
      </c>
      <c r="Q45" s="9">
        <f t="shared" si="112"/>
        <v>17.8</v>
      </c>
      <c r="R45" s="27">
        <f t="shared" si="113"/>
        <v>28.479999999999997</v>
      </c>
      <c r="S45" s="27">
        <f t="shared" si="114"/>
        <v>7.9744000000000002</v>
      </c>
      <c r="T45" s="27">
        <f t="shared" si="115"/>
        <v>10.59456</v>
      </c>
      <c r="U45" s="29">
        <f t="shared" si="116"/>
        <v>105.94559999999998</v>
      </c>
      <c r="V45" s="27">
        <f t="shared" si="117"/>
        <v>95.351039999999983</v>
      </c>
      <c r="W45" s="28"/>
      <c r="X45" s="13">
        <f t="shared" si="118"/>
        <v>3.0000000000000027E-2</v>
      </c>
      <c r="Y45" s="17">
        <f t="shared" si="119"/>
        <v>0.97</v>
      </c>
      <c r="Z45" s="5">
        <f t="shared" si="120"/>
        <v>138.77050879999999</v>
      </c>
      <c r="AA45" s="17"/>
      <c r="AB45" s="5">
        <f t="shared" si="121"/>
        <v>0</v>
      </c>
      <c r="AC45" s="67"/>
      <c r="AD45" s="5"/>
      <c r="AE45" s="67"/>
      <c r="AF45" s="4">
        <f t="shared" si="122"/>
        <v>0</v>
      </c>
      <c r="AG45" s="67"/>
      <c r="AH45" s="44">
        <f t="shared" si="123"/>
        <v>0</v>
      </c>
      <c r="AI45" s="17"/>
      <c r="AJ45" s="44">
        <f t="shared" si="124"/>
        <v>0</v>
      </c>
      <c r="AK45" s="67"/>
      <c r="AL45" s="44">
        <f t="shared" si="125"/>
        <v>0</v>
      </c>
      <c r="AM45" s="67"/>
      <c r="AN45" s="4">
        <f t="shared" si="126"/>
        <v>0</v>
      </c>
      <c r="AO45" s="67"/>
      <c r="AP45" s="4">
        <f t="shared" si="127"/>
        <v>0</v>
      </c>
      <c r="AQ45" s="17"/>
      <c r="AR45" s="4">
        <f t="shared" si="128"/>
        <v>0</v>
      </c>
      <c r="AS45" s="67"/>
      <c r="AT45" s="4">
        <f t="shared" si="129"/>
        <v>0</v>
      </c>
      <c r="AU45" s="73">
        <f t="shared" si="130"/>
        <v>2.8605312000000018</v>
      </c>
    </row>
    <row r="46" spans="1:47" s="8" customFormat="1" x14ac:dyDescent="0.25">
      <c r="A46" s="21" t="s">
        <v>37</v>
      </c>
      <c r="B46" s="9">
        <f t="shared" si="106"/>
        <v>10.59456</v>
      </c>
      <c r="C46" s="9"/>
      <c r="D46" s="9">
        <f t="shared" si="107"/>
        <v>0</v>
      </c>
      <c r="E46" s="10"/>
      <c r="F46" s="54" t="s">
        <v>36</v>
      </c>
      <c r="G46" s="27" t="s">
        <v>46</v>
      </c>
      <c r="H46" s="54" t="s">
        <v>57</v>
      </c>
      <c r="I46" s="9" t="s">
        <v>5</v>
      </c>
      <c r="J46" s="5">
        <f t="shared" si="108"/>
        <v>360</v>
      </c>
      <c r="K46" s="9"/>
      <c r="L46" s="9">
        <v>180</v>
      </c>
      <c r="M46" s="9">
        <f t="shared" si="109"/>
        <v>180</v>
      </c>
      <c r="N46" s="9">
        <v>2</v>
      </c>
      <c r="O46" s="72">
        <f t="shared" si="110"/>
        <v>178</v>
      </c>
      <c r="P46" s="74">
        <f t="shared" si="111"/>
        <v>17.8</v>
      </c>
      <c r="Q46" s="9">
        <f t="shared" si="112"/>
        <v>17.8</v>
      </c>
      <c r="R46" s="27">
        <f t="shared" si="113"/>
        <v>28.479999999999997</v>
      </c>
      <c r="S46" s="27">
        <f t="shared" si="114"/>
        <v>7.9744000000000002</v>
      </c>
      <c r="T46" s="27">
        <f t="shared" si="115"/>
        <v>10.59456</v>
      </c>
      <c r="U46" s="29">
        <f t="shared" si="116"/>
        <v>105.94559999999998</v>
      </c>
      <c r="V46" s="27">
        <f t="shared" si="117"/>
        <v>95.351039999999983</v>
      </c>
      <c r="W46" s="28"/>
      <c r="X46" s="13">
        <f t="shared" si="118"/>
        <v>3.0000000000000027E-2</v>
      </c>
      <c r="Y46" s="17">
        <f t="shared" si="119"/>
        <v>0.97</v>
      </c>
      <c r="Z46" s="5">
        <f t="shared" si="120"/>
        <v>138.77050879999999</v>
      </c>
      <c r="AA46" s="17"/>
      <c r="AB46" s="5">
        <f t="shared" si="121"/>
        <v>0</v>
      </c>
      <c r="AC46" s="67"/>
      <c r="AD46" s="5"/>
      <c r="AE46" s="67"/>
      <c r="AF46" s="4">
        <f t="shared" si="122"/>
        <v>0</v>
      </c>
      <c r="AG46" s="67"/>
      <c r="AH46" s="44">
        <f t="shared" si="123"/>
        <v>0</v>
      </c>
      <c r="AI46" s="17"/>
      <c r="AJ46" s="44">
        <f t="shared" si="124"/>
        <v>0</v>
      </c>
      <c r="AK46" s="67"/>
      <c r="AL46" s="44">
        <f t="shared" si="125"/>
        <v>0</v>
      </c>
      <c r="AM46" s="67"/>
      <c r="AN46" s="4">
        <f t="shared" si="126"/>
        <v>0</v>
      </c>
      <c r="AO46" s="67"/>
      <c r="AP46" s="4">
        <f t="shared" si="127"/>
        <v>0</v>
      </c>
      <c r="AQ46" s="17"/>
      <c r="AR46" s="4">
        <f t="shared" si="128"/>
        <v>0</v>
      </c>
      <c r="AS46" s="67"/>
      <c r="AT46" s="4">
        <f t="shared" si="129"/>
        <v>0</v>
      </c>
      <c r="AU46" s="73">
        <f t="shared" si="130"/>
        <v>2.8605312000000018</v>
      </c>
    </row>
    <row r="47" spans="1:47" s="8" customFormat="1" x14ac:dyDescent="0.25">
      <c r="A47" s="21" t="s">
        <v>37</v>
      </c>
      <c r="B47" s="9">
        <f t="shared" si="106"/>
        <v>10.59456</v>
      </c>
      <c r="C47" s="9"/>
      <c r="D47" s="9">
        <f t="shared" si="107"/>
        <v>0</v>
      </c>
      <c r="E47" s="10"/>
      <c r="F47" s="54" t="s">
        <v>36</v>
      </c>
      <c r="G47" s="27" t="s">
        <v>46</v>
      </c>
      <c r="H47" s="54" t="s">
        <v>58</v>
      </c>
      <c r="I47" s="9" t="s">
        <v>1</v>
      </c>
      <c r="J47" s="5">
        <f t="shared" si="108"/>
        <v>360</v>
      </c>
      <c r="K47" s="9"/>
      <c r="L47" s="9">
        <v>180</v>
      </c>
      <c r="M47" s="9">
        <f t="shared" si="109"/>
        <v>180</v>
      </c>
      <c r="N47" s="9">
        <v>2</v>
      </c>
      <c r="O47" s="72">
        <f t="shared" si="110"/>
        <v>178</v>
      </c>
      <c r="P47" s="74">
        <f t="shared" si="111"/>
        <v>17.8</v>
      </c>
      <c r="Q47" s="9">
        <f t="shared" si="112"/>
        <v>17.8</v>
      </c>
      <c r="R47" s="27">
        <f t="shared" si="113"/>
        <v>28.479999999999997</v>
      </c>
      <c r="S47" s="27">
        <f t="shared" si="114"/>
        <v>7.9744000000000002</v>
      </c>
      <c r="T47" s="27">
        <f t="shared" si="115"/>
        <v>10.59456</v>
      </c>
      <c r="U47" s="29">
        <f t="shared" si="116"/>
        <v>105.94559999999998</v>
      </c>
      <c r="V47" s="27">
        <f t="shared" si="117"/>
        <v>95.351039999999983</v>
      </c>
      <c r="W47" s="28"/>
      <c r="X47" s="13">
        <f t="shared" si="118"/>
        <v>3.0000000000000027E-2</v>
      </c>
      <c r="Y47" s="17">
        <f t="shared" si="119"/>
        <v>0.97</v>
      </c>
      <c r="Z47" s="5">
        <f t="shared" si="120"/>
        <v>138.77050879999999</v>
      </c>
      <c r="AA47" s="17"/>
      <c r="AB47" s="5">
        <f t="shared" si="121"/>
        <v>0</v>
      </c>
      <c r="AC47" s="67"/>
      <c r="AD47" s="5"/>
      <c r="AE47" s="67"/>
      <c r="AF47" s="4">
        <f t="shared" si="122"/>
        <v>0</v>
      </c>
      <c r="AG47" s="67"/>
      <c r="AH47" s="44">
        <f t="shared" si="123"/>
        <v>0</v>
      </c>
      <c r="AI47" s="17"/>
      <c r="AJ47" s="44">
        <f t="shared" si="124"/>
        <v>0</v>
      </c>
      <c r="AK47" s="67"/>
      <c r="AL47" s="44">
        <f t="shared" si="125"/>
        <v>0</v>
      </c>
      <c r="AM47" s="67"/>
      <c r="AN47" s="4">
        <f t="shared" si="126"/>
        <v>0</v>
      </c>
      <c r="AO47" s="67"/>
      <c r="AP47" s="4">
        <f t="shared" si="127"/>
        <v>0</v>
      </c>
      <c r="AQ47" s="17"/>
      <c r="AR47" s="4">
        <f t="shared" si="128"/>
        <v>0</v>
      </c>
      <c r="AS47" s="67"/>
      <c r="AT47" s="4">
        <f t="shared" si="129"/>
        <v>0</v>
      </c>
      <c r="AU47" s="73">
        <f t="shared" si="130"/>
        <v>2.8605312000000018</v>
      </c>
    </row>
    <row r="48" spans="1:47" s="8" customFormat="1" x14ac:dyDescent="0.25">
      <c r="A48" s="21" t="s">
        <v>37</v>
      </c>
      <c r="B48" s="9">
        <f t="shared" si="106"/>
        <v>10.59456</v>
      </c>
      <c r="C48" s="9"/>
      <c r="D48" s="9">
        <f t="shared" si="107"/>
        <v>0</v>
      </c>
      <c r="E48" s="10"/>
      <c r="F48" s="54" t="s">
        <v>36</v>
      </c>
      <c r="G48" s="27" t="s">
        <v>46</v>
      </c>
      <c r="H48" s="54" t="s">
        <v>59</v>
      </c>
      <c r="I48" s="9" t="s">
        <v>2</v>
      </c>
      <c r="J48" s="5">
        <f t="shared" si="108"/>
        <v>360</v>
      </c>
      <c r="K48" s="9"/>
      <c r="L48" s="9">
        <v>180</v>
      </c>
      <c r="M48" s="9">
        <f t="shared" si="109"/>
        <v>180</v>
      </c>
      <c r="N48" s="9">
        <v>2</v>
      </c>
      <c r="O48" s="72">
        <f t="shared" si="110"/>
        <v>178</v>
      </c>
      <c r="P48" s="74">
        <f t="shared" si="111"/>
        <v>17.8</v>
      </c>
      <c r="Q48" s="9">
        <f t="shared" si="112"/>
        <v>17.8</v>
      </c>
      <c r="R48" s="27">
        <f t="shared" si="113"/>
        <v>28.479999999999997</v>
      </c>
      <c r="S48" s="27">
        <f t="shared" si="114"/>
        <v>7.9744000000000002</v>
      </c>
      <c r="T48" s="27">
        <f t="shared" si="115"/>
        <v>10.59456</v>
      </c>
      <c r="U48" s="29">
        <f t="shared" si="116"/>
        <v>105.94559999999998</v>
      </c>
      <c r="V48" s="27">
        <f t="shared" si="117"/>
        <v>95.351039999999983</v>
      </c>
      <c r="W48" s="28"/>
      <c r="X48" s="13">
        <f>100%-Y48-AA48-AC48-AE48-AG48-AI48-AK48-AM48-AO48-AQ48</f>
        <v>3.0000000000000027E-2</v>
      </c>
      <c r="Y48" s="17">
        <f t="shared" si="119"/>
        <v>0.97</v>
      </c>
      <c r="Z48" s="5">
        <f t="shared" si="120"/>
        <v>138.77050879999999</v>
      </c>
      <c r="AA48" s="17"/>
      <c r="AB48" s="5">
        <f t="shared" si="121"/>
        <v>0</v>
      </c>
      <c r="AC48" s="67"/>
      <c r="AD48" s="5"/>
      <c r="AE48" s="67"/>
      <c r="AF48" s="4">
        <f t="shared" si="122"/>
        <v>0</v>
      </c>
      <c r="AG48" s="67"/>
      <c r="AH48" s="44">
        <f t="shared" si="123"/>
        <v>0</v>
      </c>
      <c r="AI48" s="17"/>
      <c r="AJ48" s="44">
        <f t="shared" si="124"/>
        <v>0</v>
      </c>
      <c r="AK48" s="67"/>
      <c r="AL48" s="44">
        <f t="shared" si="125"/>
        <v>0</v>
      </c>
      <c r="AM48" s="67"/>
      <c r="AN48" s="4">
        <f t="shared" si="126"/>
        <v>0</v>
      </c>
      <c r="AO48" s="67"/>
      <c r="AP48" s="4">
        <f t="shared" si="127"/>
        <v>0</v>
      </c>
      <c r="AQ48" s="17"/>
      <c r="AR48" s="4">
        <f t="shared" si="128"/>
        <v>0</v>
      </c>
      <c r="AS48" s="67"/>
      <c r="AT48" s="4">
        <f t="shared" si="129"/>
        <v>0</v>
      </c>
      <c r="AU48" s="73">
        <f t="shared" si="130"/>
        <v>2.8605312000000018</v>
      </c>
    </row>
    <row r="49" spans="1:47" s="8" customFormat="1" x14ac:dyDescent="0.25">
      <c r="A49" s="21" t="s">
        <v>37</v>
      </c>
      <c r="B49" s="9">
        <f t="shared" si="106"/>
        <v>10.7136</v>
      </c>
      <c r="C49" s="9"/>
      <c r="D49" s="9">
        <f t="shared" si="107"/>
        <v>0</v>
      </c>
      <c r="E49" s="10"/>
      <c r="F49" s="54" t="s">
        <v>36</v>
      </c>
      <c r="G49" s="27" t="s">
        <v>46</v>
      </c>
      <c r="H49" s="54" t="s">
        <v>60</v>
      </c>
      <c r="I49" s="9" t="s">
        <v>6</v>
      </c>
      <c r="J49" s="5">
        <f t="shared" si="108"/>
        <v>360</v>
      </c>
      <c r="K49" s="9"/>
      <c r="L49" s="9">
        <v>180</v>
      </c>
      <c r="M49" s="9">
        <f t="shared" si="109"/>
        <v>180</v>
      </c>
      <c r="N49" s="9">
        <v>0</v>
      </c>
      <c r="O49" s="72">
        <f t="shared" si="110"/>
        <v>180</v>
      </c>
      <c r="P49" s="74">
        <f t="shared" si="111"/>
        <v>18</v>
      </c>
      <c r="Q49" s="9">
        <f t="shared" si="112"/>
        <v>18</v>
      </c>
      <c r="R49" s="27">
        <f t="shared" si="113"/>
        <v>28.8</v>
      </c>
      <c r="S49" s="27">
        <f t="shared" si="114"/>
        <v>8.0640000000000018</v>
      </c>
      <c r="T49" s="27">
        <f t="shared" si="115"/>
        <v>10.7136</v>
      </c>
      <c r="U49" s="29">
        <f t="shared" si="116"/>
        <v>107.136</v>
      </c>
      <c r="V49" s="27">
        <f t="shared" si="117"/>
        <v>96.422399999999996</v>
      </c>
      <c r="W49" s="28"/>
      <c r="X49" s="13">
        <f t="shared" ref="X49:X51" si="131">100%-Y49-AA49-AC49-AE49-AG49-AI49-AK49-AM49-AO49-AQ49</f>
        <v>3.0000000000000027E-2</v>
      </c>
      <c r="Y49" s="17">
        <f t="shared" si="119"/>
        <v>0.97</v>
      </c>
      <c r="Z49" s="5">
        <f t="shared" si="120"/>
        <v>140.32972799999999</v>
      </c>
      <c r="AA49" s="17"/>
      <c r="AB49" s="5">
        <f t="shared" si="121"/>
        <v>0</v>
      </c>
      <c r="AC49" s="67"/>
      <c r="AD49" s="5"/>
      <c r="AE49" s="67"/>
      <c r="AF49" s="4">
        <f t="shared" si="122"/>
        <v>0</v>
      </c>
      <c r="AG49" s="67"/>
      <c r="AH49" s="44">
        <f t="shared" si="123"/>
        <v>0</v>
      </c>
      <c r="AI49" s="17"/>
      <c r="AJ49" s="44">
        <f t="shared" si="124"/>
        <v>0</v>
      </c>
      <c r="AK49" s="67"/>
      <c r="AL49" s="44">
        <f t="shared" si="125"/>
        <v>0</v>
      </c>
      <c r="AM49" s="67"/>
      <c r="AN49" s="4">
        <f t="shared" si="126"/>
        <v>0</v>
      </c>
      <c r="AO49" s="67"/>
      <c r="AP49" s="4">
        <f t="shared" si="127"/>
        <v>0</v>
      </c>
      <c r="AQ49" s="17"/>
      <c r="AR49" s="4">
        <f t="shared" si="128"/>
        <v>0</v>
      </c>
      <c r="AS49" s="67"/>
      <c r="AT49" s="4">
        <f t="shared" si="129"/>
        <v>0</v>
      </c>
      <c r="AU49" s="73">
        <f t="shared" si="130"/>
        <v>2.8926720000000024</v>
      </c>
    </row>
    <row r="50" spans="1:47" s="8" customFormat="1" x14ac:dyDescent="0.25">
      <c r="A50" s="21" t="s">
        <v>37</v>
      </c>
      <c r="B50" s="9">
        <f t="shared" si="106"/>
        <v>12.0528</v>
      </c>
      <c r="C50" s="9"/>
      <c r="D50" s="9">
        <f t="shared" si="107"/>
        <v>0</v>
      </c>
      <c r="E50" s="10"/>
      <c r="F50" s="54" t="s">
        <v>36</v>
      </c>
      <c r="G50" s="27" t="s">
        <v>46</v>
      </c>
      <c r="H50" s="54" t="s">
        <v>61</v>
      </c>
      <c r="I50" s="9" t="s">
        <v>7</v>
      </c>
      <c r="J50" s="5">
        <f t="shared" si="108"/>
        <v>360</v>
      </c>
      <c r="K50" s="9"/>
      <c r="L50" s="9">
        <v>180</v>
      </c>
      <c r="M50" s="9">
        <f t="shared" si="109"/>
        <v>180</v>
      </c>
      <c r="N50" s="9">
        <v>0</v>
      </c>
      <c r="O50" s="72">
        <f t="shared" si="110"/>
        <v>180</v>
      </c>
      <c r="P50" s="74">
        <f t="shared" si="111"/>
        <v>18</v>
      </c>
      <c r="Q50" s="9"/>
      <c r="R50" s="27">
        <f t="shared" si="113"/>
        <v>32.4</v>
      </c>
      <c r="S50" s="27">
        <f t="shared" si="114"/>
        <v>9.072000000000001</v>
      </c>
      <c r="T50" s="27">
        <f t="shared" si="115"/>
        <v>12.0528</v>
      </c>
      <c r="U50" s="29">
        <f t="shared" si="116"/>
        <v>120.52799999999999</v>
      </c>
      <c r="V50" s="27">
        <f t="shared" si="117"/>
        <v>108.47519999999999</v>
      </c>
      <c r="W50" s="28"/>
      <c r="X50" s="13">
        <f t="shared" si="131"/>
        <v>3.0000000000000027E-2</v>
      </c>
      <c r="Y50" s="17">
        <f t="shared" si="119"/>
        <v>0.97</v>
      </c>
      <c r="Z50" s="5">
        <f t="shared" si="120"/>
        <v>137.62094399999998</v>
      </c>
      <c r="AA50" s="17"/>
      <c r="AB50" s="5">
        <f t="shared" si="121"/>
        <v>0</v>
      </c>
      <c r="AC50" s="67"/>
      <c r="AD50" s="5"/>
      <c r="AE50" s="67"/>
      <c r="AF50" s="4">
        <f t="shared" si="122"/>
        <v>0</v>
      </c>
      <c r="AG50" s="67"/>
      <c r="AH50" s="44">
        <f t="shared" si="123"/>
        <v>0</v>
      </c>
      <c r="AI50" s="17"/>
      <c r="AJ50" s="44">
        <f t="shared" si="124"/>
        <v>0</v>
      </c>
      <c r="AK50" s="67"/>
      <c r="AL50" s="44">
        <f t="shared" si="125"/>
        <v>0</v>
      </c>
      <c r="AM50" s="67"/>
      <c r="AN50" s="4">
        <f t="shared" si="126"/>
        <v>0</v>
      </c>
      <c r="AO50" s="67"/>
      <c r="AP50" s="4">
        <f t="shared" si="127"/>
        <v>0</v>
      </c>
      <c r="AQ50" s="17"/>
      <c r="AR50" s="4">
        <f t="shared" si="128"/>
        <v>0</v>
      </c>
      <c r="AS50" s="67"/>
      <c r="AT50" s="4">
        <f t="shared" si="129"/>
        <v>0</v>
      </c>
      <c r="AU50" s="73">
        <f t="shared" si="130"/>
        <v>3.2542560000000025</v>
      </c>
    </row>
    <row r="51" spans="1:47" s="8" customFormat="1" x14ac:dyDescent="0.25">
      <c r="A51" s="21" t="s">
        <v>37</v>
      </c>
      <c r="B51" s="9">
        <f t="shared" si="106"/>
        <v>15.066000000000001</v>
      </c>
      <c r="C51" s="9"/>
      <c r="D51" s="9">
        <f t="shared" si="107"/>
        <v>0</v>
      </c>
      <c r="E51" s="10"/>
      <c r="F51" s="54" t="s">
        <v>36</v>
      </c>
      <c r="G51" s="27" t="s">
        <v>46</v>
      </c>
      <c r="H51" s="54" t="s">
        <v>62</v>
      </c>
      <c r="I51" s="9" t="s">
        <v>8</v>
      </c>
      <c r="J51" s="5">
        <f t="shared" si="108"/>
        <v>360</v>
      </c>
      <c r="K51" s="9"/>
      <c r="L51" s="9">
        <v>180</v>
      </c>
      <c r="M51" s="9">
        <f t="shared" si="109"/>
        <v>180</v>
      </c>
      <c r="N51" s="9">
        <v>0</v>
      </c>
      <c r="O51" s="72">
        <f t="shared" si="110"/>
        <v>180</v>
      </c>
      <c r="P51" s="74">
        <f t="shared" si="111"/>
        <v>18</v>
      </c>
      <c r="Q51" s="9"/>
      <c r="R51" s="27"/>
      <c r="S51" s="27">
        <f t="shared" si="114"/>
        <v>11.340000000000002</v>
      </c>
      <c r="T51" s="27">
        <f t="shared" si="115"/>
        <v>15.066000000000001</v>
      </c>
      <c r="U51" s="29">
        <f t="shared" si="116"/>
        <v>150.66</v>
      </c>
      <c r="V51" s="27">
        <f t="shared" si="117"/>
        <v>135.59399999999999</v>
      </c>
      <c r="W51" s="28"/>
      <c r="X51" s="13">
        <f t="shared" si="131"/>
        <v>3.0000000000000068E-2</v>
      </c>
      <c r="Y51" s="17">
        <f t="shared" si="119"/>
        <v>0.91999999999999993</v>
      </c>
      <c r="Z51" s="5">
        <f t="shared" si="120"/>
        <v>124.74647999999999</v>
      </c>
      <c r="AA51" s="17">
        <v>0.05</v>
      </c>
      <c r="AB51" s="5">
        <f t="shared" si="121"/>
        <v>6.7797000000000001</v>
      </c>
      <c r="AC51" s="67"/>
      <c r="AD51" s="5"/>
      <c r="AE51" s="67"/>
      <c r="AF51" s="4">
        <f t="shared" si="122"/>
        <v>0</v>
      </c>
      <c r="AG51" s="67"/>
      <c r="AH51" s="44">
        <f t="shared" si="123"/>
        <v>0</v>
      </c>
      <c r="AI51" s="17"/>
      <c r="AJ51" s="44">
        <f t="shared" si="124"/>
        <v>0</v>
      </c>
      <c r="AK51" s="67"/>
      <c r="AL51" s="44">
        <f t="shared" si="125"/>
        <v>0</v>
      </c>
      <c r="AM51" s="67"/>
      <c r="AN51" s="4">
        <f t="shared" si="126"/>
        <v>0</v>
      </c>
      <c r="AO51" s="67"/>
      <c r="AP51" s="4">
        <f t="shared" si="127"/>
        <v>0</v>
      </c>
      <c r="AQ51" s="17"/>
      <c r="AR51" s="4">
        <f t="shared" si="128"/>
        <v>0</v>
      </c>
      <c r="AS51" s="67"/>
      <c r="AT51" s="4">
        <f t="shared" si="129"/>
        <v>0</v>
      </c>
      <c r="AU51" s="73">
        <f t="shared" si="130"/>
        <v>4.0678200000000091</v>
      </c>
    </row>
    <row r="52" spans="1:47" s="8" customFormat="1" x14ac:dyDescent="0.25">
      <c r="A52" s="21" t="s">
        <v>37</v>
      </c>
      <c r="B52" s="9">
        <f t="shared" si="106"/>
        <v>14.228999999999999</v>
      </c>
      <c r="C52" s="9"/>
      <c r="D52" s="9">
        <f t="shared" si="107"/>
        <v>0</v>
      </c>
      <c r="E52" s="10"/>
      <c r="F52" s="54" t="s">
        <v>36</v>
      </c>
      <c r="G52" s="27" t="s">
        <v>46</v>
      </c>
      <c r="H52" s="54" t="s">
        <v>63</v>
      </c>
      <c r="I52" s="9" t="s">
        <v>9</v>
      </c>
      <c r="J52" s="5">
        <f t="shared" si="108"/>
        <v>360</v>
      </c>
      <c r="K52" s="9"/>
      <c r="L52" s="9">
        <v>180</v>
      </c>
      <c r="M52" s="9">
        <f t="shared" si="109"/>
        <v>180</v>
      </c>
      <c r="N52" s="9"/>
      <c r="O52" s="72">
        <f t="shared" si="110"/>
        <v>180</v>
      </c>
      <c r="P52" s="74">
        <f t="shared" ref="P52" si="132">(M52-N52)*15%</f>
        <v>27</v>
      </c>
      <c r="Q52" s="9"/>
      <c r="R52" s="27"/>
      <c r="S52" s="27">
        <f t="shared" si="114"/>
        <v>10.71</v>
      </c>
      <c r="T52" s="27"/>
      <c r="U52" s="29">
        <f t="shared" si="116"/>
        <v>142.29</v>
      </c>
      <c r="V52" s="27">
        <f t="shared" si="117"/>
        <v>128.06099999999998</v>
      </c>
      <c r="W52" s="28"/>
      <c r="X52" s="13">
        <f>100%-Y52-AA52-AC52-AE52-AG52-AI52-AK52-AM52-AO52-AQ52</f>
        <v>3.0000000000000068E-2</v>
      </c>
      <c r="Y52" s="17">
        <f t="shared" si="119"/>
        <v>0.91999999999999993</v>
      </c>
      <c r="Z52" s="5">
        <f t="shared" si="120"/>
        <v>117.81611999999997</v>
      </c>
      <c r="AA52" s="17">
        <v>0.05</v>
      </c>
      <c r="AB52" s="5">
        <f t="shared" si="121"/>
        <v>6.4030499999999995</v>
      </c>
      <c r="AC52" s="67"/>
      <c r="AD52" s="5"/>
      <c r="AE52" s="67"/>
      <c r="AF52" s="4">
        <f t="shared" si="122"/>
        <v>0</v>
      </c>
      <c r="AG52" s="67"/>
      <c r="AH52" s="44">
        <f t="shared" si="123"/>
        <v>0</v>
      </c>
      <c r="AI52" s="17"/>
      <c r="AJ52" s="44">
        <f t="shared" si="124"/>
        <v>0</v>
      </c>
      <c r="AK52" s="67"/>
      <c r="AL52" s="44">
        <f t="shared" si="125"/>
        <v>0</v>
      </c>
      <c r="AM52" s="67"/>
      <c r="AN52" s="4">
        <f t="shared" si="126"/>
        <v>0</v>
      </c>
      <c r="AO52" s="67"/>
      <c r="AP52" s="4">
        <f t="shared" si="127"/>
        <v>0</v>
      </c>
      <c r="AQ52" s="17"/>
      <c r="AR52" s="4">
        <f t="shared" si="128"/>
        <v>0</v>
      </c>
      <c r="AS52" s="67"/>
      <c r="AT52" s="4">
        <f t="shared" si="129"/>
        <v>0</v>
      </c>
      <c r="AU52" s="73">
        <f t="shared" si="130"/>
        <v>3.8418300000000083</v>
      </c>
    </row>
    <row r="53" spans="1:47" s="8" customFormat="1" x14ac:dyDescent="0.25">
      <c r="A53" s="21" t="s">
        <v>37</v>
      </c>
      <c r="B53" s="9">
        <f>IF(A53="",0,((O53)*20%))</f>
        <v>36</v>
      </c>
      <c r="C53" s="9"/>
      <c r="D53" s="9">
        <f t="shared" ref="D53:D55" si="133">IF(C53="",0,((O53)*5%))</f>
        <v>0</v>
      </c>
      <c r="E53" s="10"/>
      <c r="F53" s="54" t="s">
        <v>36</v>
      </c>
      <c r="G53" s="27" t="s">
        <v>46</v>
      </c>
      <c r="H53" s="54" t="s">
        <v>64</v>
      </c>
      <c r="I53" s="9" t="s">
        <v>10</v>
      </c>
      <c r="J53" s="9">
        <f t="shared" si="108"/>
        <v>360</v>
      </c>
      <c r="K53" s="5"/>
      <c r="L53" s="9">
        <v>180</v>
      </c>
      <c r="M53" s="9">
        <f t="shared" si="109"/>
        <v>180</v>
      </c>
      <c r="N53" s="5"/>
      <c r="O53" s="72">
        <f t="shared" si="110"/>
        <v>180</v>
      </c>
      <c r="P53" s="74">
        <f t="shared" ref="P53:P55" si="134">(M53-N53)*5%</f>
        <v>9</v>
      </c>
      <c r="Q53" s="9"/>
      <c r="R53" s="27"/>
      <c r="S53" s="27">
        <f t="shared" ref="S53:S55" si="135">(O53-P53)*7%</f>
        <v>11.97</v>
      </c>
      <c r="T53" s="27"/>
      <c r="U53" s="29">
        <f t="shared" si="116"/>
        <v>159.03</v>
      </c>
      <c r="V53" s="27">
        <f t="shared" si="117"/>
        <v>123.03</v>
      </c>
      <c r="W53" s="28"/>
      <c r="X53" s="13">
        <f t="shared" ref="X53:X55" si="136">100%-Y53-AA53-AC53-AE53-AG53-AI53-AK53-AM53-AO53-AQ53</f>
        <v>9.9999999999999811E-3</v>
      </c>
      <c r="Y53" s="17">
        <f t="shared" ref="Y53:Y55" si="137">(99%-AA53-AC53-AE53-AG53-AI53-AK53-AM53-AO53-AQ53)</f>
        <v>0.78</v>
      </c>
      <c r="Z53" s="9">
        <f t="shared" si="120"/>
        <v>95.963400000000007</v>
      </c>
      <c r="AA53" s="17">
        <v>0.15</v>
      </c>
      <c r="AB53" s="5">
        <f t="shared" si="121"/>
        <v>18.454499999999999</v>
      </c>
      <c r="AC53" s="17">
        <v>0.06</v>
      </c>
      <c r="AD53" s="9">
        <f t="shared" ref="AD53:AD55" si="138">V53*AC53</f>
        <v>7.3818000000000001</v>
      </c>
      <c r="AE53" s="67"/>
      <c r="AF53" s="4">
        <f t="shared" si="122"/>
        <v>0</v>
      </c>
      <c r="AG53" s="67"/>
      <c r="AH53" s="57">
        <f t="shared" si="123"/>
        <v>0</v>
      </c>
      <c r="AI53" s="17"/>
      <c r="AJ53" s="57">
        <f t="shared" si="124"/>
        <v>0</v>
      </c>
      <c r="AK53" s="67"/>
      <c r="AL53" s="57">
        <f t="shared" si="125"/>
        <v>0</v>
      </c>
      <c r="AM53" s="67"/>
      <c r="AN53" s="9">
        <f t="shared" si="126"/>
        <v>0</v>
      </c>
      <c r="AO53" s="67"/>
      <c r="AP53" s="10">
        <f t="shared" si="127"/>
        <v>0</v>
      </c>
      <c r="AQ53" s="17"/>
      <c r="AR53" s="10">
        <f t="shared" si="128"/>
        <v>0</v>
      </c>
      <c r="AS53" s="67"/>
      <c r="AT53" s="10">
        <f t="shared" si="129"/>
        <v>0</v>
      </c>
      <c r="AU53" s="73">
        <f t="shared" si="130"/>
        <v>1.2302999999999977</v>
      </c>
    </row>
    <row r="54" spans="1:47" s="8" customFormat="1" x14ac:dyDescent="0.25">
      <c r="A54" s="21" t="s">
        <v>37</v>
      </c>
      <c r="B54" s="9">
        <f t="shared" ref="B54:B55" si="139">IF(A54="",0,((O54)*20%))</f>
        <v>36</v>
      </c>
      <c r="C54" s="9"/>
      <c r="D54" s="9">
        <f t="shared" si="133"/>
        <v>0</v>
      </c>
      <c r="E54" s="10"/>
      <c r="F54" s="54" t="s">
        <v>36</v>
      </c>
      <c r="G54" s="27" t="s">
        <v>46</v>
      </c>
      <c r="H54" s="54" t="s">
        <v>65</v>
      </c>
      <c r="I54" s="9" t="s">
        <v>11</v>
      </c>
      <c r="J54" s="5">
        <f t="shared" si="108"/>
        <v>360</v>
      </c>
      <c r="K54" s="9"/>
      <c r="L54" s="9">
        <v>180</v>
      </c>
      <c r="M54" s="9">
        <f t="shared" si="109"/>
        <v>180</v>
      </c>
      <c r="N54" s="9">
        <v>0</v>
      </c>
      <c r="O54" s="72">
        <f t="shared" si="110"/>
        <v>180</v>
      </c>
      <c r="P54" s="74">
        <f t="shared" si="134"/>
        <v>9</v>
      </c>
      <c r="Q54" s="9"/>
      <c r="R54" s="27"/>
      <c r="S54" s="27">
        <f t="shared" si="135"/>
        <v>11.97</v>
      </c>
      <c r="T54" s="27"/>
      <c r="U54" s="29">
        <f t="shared" si="116"/>
        <v>159.03</v>
      </c>
      <c r="V54" s="27">
        <f t="shared" si="117"/>
        <v>123.03</v>
      </c>
      <c r="W54" s="28"/>
      <c r="X54" s="13">
        <f t="shared" si="136"/>
        <v>9.9999999999999811E-3</v>
      </c>
      <c r="Y54" s="17">
        <f t="shared" si="137"/>
        <v>0.78</v>
      </c>
      <c r="Z54" s="9">
        <f t="shared" si="120"/>
        <v>95.963400000000007</v>
      </c>
      <c r="AA54" s="17">
        <v>0.15</v>
      </c>
      <c r="AB54" s="5">
        <f t="shared" si="121"/>
        <v>18.454499999999999</v>
      </c>
      <c r="AC54" s="17">
        <v>0.06</v>
      </c>
      <c r="AD54" s="9">
        <f t="shared" si="138"/>
        <v>7.3818000000000001</v>
      </c>
      <c r="AE54" s="17"/>
      <c r="AF54" s="4">
        <f t="shared" si="122"/>
        <v>0</v>
      </c>
      <c r="AG54" s="17"/>
      <c r="AH54" s="44">
        <f t="shared" si="123"/>
        <v>0</v>
      </c>
      <c r="AI54" s="17"/>
      <c r="AJ54" s="44">
        <f t="shared" si="124"/>
        <v>0</v>
      </c>
      <c r="AK54" s="17"/>
      <c r="AL54" s="44">
        <f t="shared" si="125"/>
        <v>0</v>
      </c>
      <c r="AM54" s="17"/>
      <c r="AN54" s="5">
        <f t="shared" si="126"/>
        <v>0</v>
      </c>
      <c r="AO54" s="17"/>
      <c r="AP54" s="4">
        <f t="shared" si="127"/>
        <v>0</v>
      </c>
      <c r="AQ54" s="17"/>
      <c r="AR54" s="4">
        <f t="shared" si="128"/>
        <v>0</v>
      </c>
      <c r="AS54" s="17"/>
      <c r="AT54" s="4">
        <f t="shared" si="129"/>
        <v>0</v>
      </c>
      <c r="AU54" s="73">
        <f t="shared" si="130"/>
        <v>1.2302999999999977</v>
      </c>
    </row>
    <row r="55" spans="1:47" s="8" customFormat="1" x14ac:dyDescent="0.25">
      <c r="A55" s="21" t="s">
        <v>37</v>
      </c>
      <c r="B55" s="9">
        <f t="shared" si="139"/>
        <v>36</v>
      </c>
      <c r="C55" s="9"/>
      <c r="D55" s="9">
        <f t="shared" si="133"/>
        <v>0</v>
      </c>
      <c r="E55" s="10"/>
      <c r="F55" s="54" t="s">
        <v>36</v>
      </c>
      <c r="G55" s="27" t="s">
        <v>46</v>
      </c>
      <c r="H55" s="54" t="s">
        <v>66</v>
      </c>
      <c r="I55" s="9" t="s">
        <v>12</v>
      </c>
      <c r="J55" s="5">
        <f t="shared" si="108"/>
        <v>360</v>
      </c>
      <c r="K55" s="9"/>
      <c r="L55" s="9">
        <v>180</v>
      </c>
      <c r="M55" s="9">
        <f>L55</f>
        <v>180</v>
      </c>
      <c r="N55" s="9">
        <v>0</v>
      </c>
      <c r="O55" s="72">
        <f t="shared" si="110"/>
        <v>180</v>
      </c>
      <c r="P55" s="74">
        <f t="shared" si="134"/>
        <v>9</v>
      </c>
      <c r="Q55" s="9"/>
      <c r="R55" s="27"/>
      <c r="S55" s="27">
        <f t="shared" si="135"/>
        <v>11.97</v>
      </c>
      <c r="T55" s="27"/>
      <c r="U55" s="29">
        <f t="shared" si="116"/>
        <v>159.03</v>
      </c>
      <c r="V55" s="27">
        <f t="shared" si="117"/>
        <v>123.03</v>
      </c>
      <c r="W55" s="28"/>
      <c r="X55" s="13">
        <f t="shared" si="136"/>
        <v>9.9999999999999811E-3</v>
      </c>
      <c r="Y55" s="17">
        <f t="shared" si="137"/>
        <v>0.78</v>
      </c>
      <c r="Z55" s="9">
        <f t="shared" si="120"/>
        <v>95.963400000000007</v>
      </c>
      <c r="AA55" s="17">
        <v>0.15</v>
      </c>
      <c r="AB55" s="5">
        <f t="shared" si="121"/>
        <v>18.454499999999999</v>
      </c>
      <c r="AC55" s="17">
        <v>0.06</v>
      </c>
      <c r="AD55" s="9">
        <f t="shared" si="138"/>
        <v>7.3818000000000001</v>
      </c>
      <c r="AE55" s="17"/>
      <c r="AF55" s="4">
        <f t="shared" si="122"/>
        <v>0</v>
      </c>
      <c r="AG55" s="17"/>
      <c r="AH55" s="44">
        <f t="shared" si="123"/>
        <v>0</v>
      </c>
      <c r="AI55" s="17"/>
      <c r="AJ55" s="44">
        <f t="shared" si="124"/>
        <v>0</v>
      </c>
      <c r="AK55" s="17"/>
      <c r="AL55" s="44">
        <f t="shared" si="125"/>
        <v>0</v>
      </c>
      <c r="AM55" s="17"/>
      <c r="AN55" s="5">
        <f t="shared" si="126"/>
        <v>0</v>
      </c>
      <c r="AO55" s="17"/>
      <c r="AP55" s="4">
        <f t="shared" si="127"/>
        <v>0</v>
      </c>
      <c r="AQ55" s="17"/>
      <c r="AR55" s="4">
        <f t="shared" si="128"/>
        <v>0</v>
      </c>
      <c r="AS55" s="17"/>
      <c r="AT55" s="4">
        <f t="shared" si="129"/>
        <v>0</v>
      </c>
      <c r="AU55" s="73">
        <f t="shared" si="130"/>
        <v>1.2302999999999977</v>
      </c>
    </row>
    <row r="56" spans="1:47" x14ac:dyDescent="0.25">
      <c r="A56" s="21"/>
      <c r="C56" s="9"/>
      <c r="D56" s="10"/>
      <c r="E56" s="10"/>
      <c r="F56" s="8"/>
      <c r="G56" s="8"/>
      <c r="H56" s="8"/>
      <c r="I56" s="9"/>
      <c r="J56" s="9"/>
      <c r="K56" s="9"/>
      <c r="L56" s="9"/>
      <c r="M56" s="9"/>
      <c r="N56" s="9"/>
      <c r="O56" s="9"/>
      <c r="P56" s="9"/>
      <c r="Q56" s="9"/>
      <c r="Z56" s="5"/>
      <c r="AB56" s="5"/>
      <c r="AD56" s="5"/>
      <c r="AH56" s="44"/>
      <c r="AJ56" s="44"/>
      <c r="AL56" s="44"/>
      <c r="AN56" s="5"/>
      <c r="AP56" s="5"/>
      <c r="AR56" s="5"/>
      <c r="AT56" s="5"/>
    </row>
    <row r="57" spans="1:47" s="8" customFormat="1" x14ac:dyDescent="0.25">
      <c r="A57" s="21" t="s">
        <v>27</v>
      </c>
      <c r="B57" s="9">
        <f>IF(A57="",0,((U57)*10%))</f>
        <v>27.379199999999997</v>
      </c>
      <c r="C57" s="9"/>
      <c r="D57" s="9">
        <f t="shared" ref="D57:D68" si="140">IF(C57="",0,((U57)*5%))</f>
        <v>0</v>
      </c>
      <c r="E57" s="10"/>
      <c r="F57" s="54" t="s">
        <v>38</v>
      </c>
      <c r="G57" s="27" t="s">
        <v>46</v>
      </c>
      <c r="H57" s="54" t="s">
        <v>55</v>
      </c>
      <c r="I57" s="5" t="s">
        <v>3</v>
      </c>
      <c r="J57" s="5">
        <f t="shared" ref="J57:J68" si="141">L57*2</f>
        <v>924</v>
      </c>
      <c r="K57" s="5"/>
      <c r="L57" s="9">
        <v>462</v>
      </c>
      <c r="M57" s="9">
        <f t="shared" ref="M57:M66" si="142">L57</f>
        <v>462</v>
      </c>
      <c r="N57" s="9">
        <v>2</v>
      </c>
      <c r="O57" s="72">
        <f t="shared" ref="O57:O68" si="143">M57-N57</f>
        <v>460</v>
      </c>
      <c r="P57" s="74">
        <f t="shared" ref="P57:P64" si="144">(M57-N57)*10%</f>
        <v>46</v>
      </c>
      <c r="Q57" s="9">
        <f t="shared" ref="Q57:Q62" si="145">(M57-N57)*10%</f>
        <v>46</v>
      </c>
      <c r="R57" s="27">
        <f t="shared" ref="R57:R63" si="146">(M57-N57-P57-Q57)*20%</f>
        <v>73.600000000000009</v>
      </c>
      <c r="S57" s="27">
        <f t="shared" ref="S57:S65" si="147">(O57-P57-Q57-R57)*7%</f>
        <v>20.608000000000001</v>
      </c>
      <c r="T57" s="27">
        <f t="shared" ref="T57:T64" si="148">(M57-N57-P57-Q57-R57-S57)*10%</f>
        <v>27.379199999999997</v>
      </c>
      <c r="U57" s="29">
        <f t="shared" ref="U57:U68" si="149">M57-N57-P57-Q57-R57-S57</f>
        <v>273.79199999999997</v>
      </c>
      <c r="V57" s="27">
        <f t="shared" ref="V57:V68" si="150">U57-B57-D57</f>
        <v>246.41279999999998</v>
      </c>
      <c r="W57" s="28"/>
      <c r="X57" s="13">
        <f t="shared" ref="X57:X60" si="151">100%-Y57-AA57-AC57-AE57-AG57-AI57-AK57-AM57-AO57-AQ57</f>
        <v>3.0000000000000027E-2</v>
      </c>
      <c r="Y57" s="17">
        <f t="shared" ref="Y57:Y65" si="152">(97%-AA57-AC57-AE57-AG57-AI57-AK57-AM57-AO57-AQ57)</f>
        <v>0.97</v>
      </c>
      <c r="Z57" s="5">
        <f t="shared" ref="Z57:Z68" si="153">(V57*Y57)+Q57+R57</f>
        <v>358.62041599999998</v>
      </c>
      <c r="AA57" s="17"/>
      <c r="AB57" s="5">
        <f t="shared" ref="AB57:AB68" si="154">(V57*AA57)</f>
        <v>0</v>
      </c>
      <c r="AC57" s="67"/>
      <c r="AD57" s="5"/>
      <c r="AE57" s="67"/>
      <c r="AF57" s="4">
        <f t="shared" ref="AF57:AF68" si="155">V57*AE57</f>
        <v>0</v>
      </c>
      <c r="AG57" s="67"/>
      <c r="AH57" s="44">
        <f t="shared" ref="AH57:AH68" si="156">V57*AG57</f>
        <v>0</v>
      </c>
      <c r="AI57" s="17"/>
      <c r="AJ57" s="44">
        <f t="shared" ref="AJ57:AJ68" si="157">V57*AI57</f>
        <v>0</v>
      </c>
      <c r="AK57" s="67"/>
      <c r="AL57" s="44">
        <f t="shared" ref="AL57:AL68" si="158">V57*AK57</f>
        <v>0</v>
      </c>
      <c r="AM57" s="67"/>
      <c r="AN57" s="4">
        <f t="shared" ref="AN57:AN68" si="159">V57*AM57</f>
        <v>0</v>
      </c>
      <c r="AO57" s="67"/>
      <c r="AP57" s="4">
        <f t="shared" ref="AP57:AP68" si="160">V57*AO57</f>
        <v>0</v>
      </c>
      <c r="AQ57" s="17"/>
      <c r="AR57" s="4">
        <f t="shared" ref="AR57:AR68" si="161">V57*AQ57</f>
        <v>0</v>
      </c>
      <c r="AS57" s="67"/>
      <c r="AT57" s="4">
        <f t="shared" ref="AT57:AT68" si="162">X57*AS57</f>
        <v>0</v>
      </c>
      <c r="AU57" s="73">
        <f t="shared" ref="AU57:AU68" si="163">V57*X57</f>
        <v>7.3923840000000061</v>
      </c>
    </row>
    <row r="58" spans="1:47" s="8" customFormat="1" x14ac:dyDescent="0.25">
      <c r="A58" s="21" t="s">
        <v>27</v>
      </c>
      <c r="B58" s="9">
        <f>IF(A58="",0,((U58)*10%))</f>
        <v>27.379199999999997</v>
      </c>
      <c r="C58" s="9"/>
      <c r="D58" s="9">
        <f t="shared" si="140"/>
        <v>0</v>
      </c>
      <c r="E58" s="10"/>
      <c r="F58" s="54" t="s">
        <v>38</v>
      </c>
      <c r="G58" s="27" t="s">
        <v>46</v>
      </c>
      <c r="H58" s="54" t="s">
        <v>56</v>
      </c>
      <c r="I58" s="9" t="s">
        <v>4</v>
      </c>
      <c r="J58" s="5">
        <f t="shared" si="141"/>
        <v>924</v>
      </c>
      <c r="K58" s="9"/>
      <c r="L58" s="9">
        <v>462</v>
      </c>
      <c r="M58" s="9">
        <f t="shared" si="142"/>
        <v>462</v>
      </c>
      <c r="N58" s="9">
        <v>2</v>
      </c>
      <c r="O58" s="72">
        <f t="shared" si="143"/>
        <v>460</v>
      </c>
      <c r="P58" s="74">
        <f t="shared" si="144"/>
        <v>46</v>
      </c>
      <c r="Q58" s="9">
        <f t="shared" si="145"/>
        <v>46</v>
      </c>
      <c r="R58" s="27">
        <f t="shared" si="146"/>
        <v>73.600000000000009</v>
      </c>
      <c r="S58" s="27">
        <f t="shared" si="147"/>
        <v>20.608000000000001</v>
      </c>
      <c r="T58" s="27">
        <f t="shared" si="148"/>
        <v>27.379199999999997</v>
      </c>
      <c r="U58" s="29">
        <f t="shared" si="149"/>
        <v>273.79199999999997</v>
      </c>
      <c r="V58" s="27">
        <f t="shared" si="150"/>
        <v>246.41279999999998</v>
      </c>
      <c r="W58" s="28"/>
      <c r="X58" s="13">
        <f t="shared" si="151"/>
        <v>3.0000000000000027E-2</v>
      </c>
      <c r="Y58" s="17">
        <f t="shared" si="152"/>
        <v>0.97</v>
      </c>
      <c r="Z58" s="5">
        <f t="shared" si="153"/>
        <v>358.62041599999998</v>
      </c>
      <c r="AA58" s="17"/>
      <c r="AB58" s="5">
        <f t="shared" si="154"/>
        <v>0</v>
      </c>
      <c r="AC58" s="67"/>
      <c r="AD58" s="5"/>
      <c r="AE58" s="67"/>
      <c r="AF58" s="4">
        <f t="shared" si="155"/>
        <v>0</v>
      </c>
      <c r="AG58" s="67"/>
      <c r="AH58" s="44">
        <f t="shared" si="156"/>
        <v>0</v>
      </c>
      <c r="AI58" s="17"/>
      <c r="AJ58" s="44">
        <f t="shared" si="157"/>
        <v>0</v>
      </c>
      <c r="AK58" s="67"/>
      <c r="AL58" s="44">
        <f t="shared" si="158"/>
        <v>0</v>
      </c>
      <c r="AM58" s="67"/>
      <c r="AN58" s="4">
        <f t="shared" si="159"/>
        <v>0</v>
      </c>
      <c r="AO58" s="67"/>
      <c r="AP58" s="4">
        <f t="shared" si="160"/>
        <v>0</v>
      </c>
      <c r="AQ58" s="17"/>
      <c r="AR58" s="4">
        <f t="shared" si="161"/>
        <v>0</v>
      </c>
      <c r="AS58" s="67"/>
      <c r="AT58" s="4">
        <f t="shared" si="162"/>
        <v>0</v>
      </c>
      <c r="AU58" s="73">
        <f t="shared" si="163"/>
        <v>7.3923840000000061</v>
      </c>
    </row>
    <row r="59" spans="1:47" s="8" customFormat="1" x14ac:dyDescent="0.25">
      <c r="A59" s="21" t="s">
        <v>27</v>
      </c>
      <c r="B59" s="9">
        <f>IF(A59="",0,((U59)*10%))</f>
        <v>27.379199999999997</v>
      </c>
      <c r="C59" s="9"/>
      <c r="D59" s="9">
        <f t="shared" si="140"/>
        <v>0</v>
      </c>
      <c r="E59" s="10"/>
      <c r="F59" s="54" t="s">
        <v>38</v>
      </c>
      <c r="G59" s="27" t="s">
        <v>46</v>
      </c>
      <c r="H59" s="54" t="s">
        <v>57</v>
      </c>
      <c r="I59" s="9" t="s">
        <v>5</v>
      </c>
      <c r="J59" s="5">
        <f t="shared" si="141"/>
        <v>924</v>
      </c>
      <c r="K59" s="9"/>
      <c r="L59" s="9">
        <v>462</v>
      </c>
      <c r="M59" s="9">
        <f t="shared" si="142"/>
        <v>462</v>
      </c>
      <c r="N59" s="9">
        <v>2</v>
      </c>
      <c r="O59" s="72">
        <f t="shared" si="143"/>
        <v>460</v>
      </c>
      <c r="P59" s="74">
        <f t="shared" si="144"/>
        <v>46</v>
      </c>
      <c r="Q59" s="9">
        <f t="shared" si="145"/>
        <v>46</v>
      </c>
      <c r="R59" s="27">
        <f t="shared" si="146"/>
        <v>73.600000000000009</v>
      </c>
      <c r="S59" s="27">
        <f t="shared" si="147"/>
        <v>20.608000000000001</v>
      </c>
      <c r="T59" s="27">
        <f t="shared" si="148"/>
        <v>27.379199999999997</v>
      </c>
      <c r="U59" s="29">
        <f t="shared" si="149"/>
        <v>273.79199999999997</v>
      </c>
      <c r="V59" s="27">
        <f t="shared" si="150"/>
        <v>246.41279999999998</v>
      </c>
      <c r="W59" s="28"/>
      <c r="X59" s="13">
        <f t="shared" si="151"/>
        <v>3.0000000000000027E-2</v>
      </c>
      <c r="Y59" s="17">
        <f t="shared" si="152"/>
        <v>0.97</v>
      </c>
      <c r="Z59" s="5">
        <f t="shared" si="153"/>
        <v>358.62041599999998</v>
      </c>
      <c r="AA59" s="17"/>
      <c r="AB59" s="5">
        <f t="shared" si="154"/>
        <v>0</v>
      </c>
      <c r="AC59" s="67"/>
      <c r="AD59" s="5"/>
      <c r="AE59" s="67"/>
      <c r="AF59" s="4">
        <f t="shared" si="155"/>
        <v>0</v>
      </c>
      <c r="AG59" s="67"/>
      <c r="AH59" s="44">
        <f t="shared" si="156"/>
        <v>0</v>
      </c>
      <c r="AI59" s="17"/>
      <c r="AJ59" s="44">
        <f t="shared" si="157"/>
        <v>0</v>
      </c>
      <c r="AK59" s="67"/>
      <c r="AL59" s="44">
        <f t="shared" si="158"/>
        <v>0</v>
      </c>
      <c r="AM59" s="67"/>
      <c r="AN59" s="4">
        <f t="shared" si="159"/>
        <v>0</v>
      </c>
      <c r="AO59" s="67"/>
      <c r="AP59" s="4">
        <f t="shared" si="160"/>
        <v>0</v>
      </c>
      <c r="AQ59" s="17"/>
      <c r="AR59" s="4">
        <f t="shared" si="161"/>
        <v>0</v>
      </c>
      <c r="AS59" s="67"/>
      <c r="AT59" s="4">
        <f t="shared" si="162"/>
        <v>0</v>
      </c>
      <c r="AU59" s="73">
        <f t="shared" si="163"/>
        <v>7.3923840000000061</v>
      </c>
    </row>
    <row r="60" spans="1:47" s="8" customFormat="1" x14ac:dyDescent="0.25">
      <c r="A60" s="21" t="s">
        <v>27</v>
      </c>
      <c r="B60" s="9">
        <f>IF(A60="",0,((U60)*10%))</f>
        <v>27.379199999999997</v>
      </c>
      <c r="C60" s="9"/>
      <c r="D60" s="9">
        <f t="shared" si="140"/>
        <v>0</v>
      </c>
      <c r="E60" s="10"/>
      <c r="F60" s="54" t="s">
        <v>38</v>
      </c>
      <c r="G60" s="27" t="s">
        <v>46</v>
      </c>
      <c r="H60" s="54" t="s">
        <v>58</v>
      </c>
      <c r="I60" s="9" t="s">
        <v>1</v>
      </c>
      <c r="J60" s="5">
        <f t="shared" si="141"/>
        <v>924</v>
      </c>
      <c r="K60" s="9"/>
      <c r="L60" s="9">
        <v>462</v>
      </c>
      <c r="M60" s="9">
        <f t="shared" si="142"/>
        <v>462</v>
      </c>
      <c r="N60" s="9">
        <v>2</v>
      </c>
      <c r="O60" s="72">
        <f t="shared" si="143"/>
        <v>460</v>
      </c>
      <c r="P60" s="74">
        <f t="shared" si="144"/>
        <v>46</v>
      </c>
      <c r="Q60" s="9">
        <f t="shared" si="145"/>
        <v>46</v>
      </c>
      <c r="R60" s="27">
        <f t="shared" si="146"/>
        <v>73.600000000000009</v>
      </c>
      <c r="S60" s="27">
        <f t="shared" si="147"/>
        <v>20.608000000000001</v>
      </c>
      <c r="T60" s="27">
        <f t="shared" si="148"/>
        <v>27.379199999999997</v>
      </c>
      <c r="U60" s="29">
        <f t="shared" si="149"/>
        <v>273.79199999999997</v>
      </c>
      <c r="V60" s="27">
        <f t="shared" si="150"/>
        <v>246.41279999999998</v>
      </c>
      <c r="W60" s="28"/>
      <c r="X60" s="13">
        <f t="shared" si="151"/>
        <v>3.0000000000000027E-2</v>
      </c>
      <c r="Y60" s="17">
        <f t="shared" si="152"/>
        <v>0.97</v>
      </c>
      <c r="Z60" s="5">
        <f t="shared" si="153"/>
        <v>358.62041599999998</v>
      </c>
      <c r="AA60" s="17"/>
      <c r="AB60" s="5">
        <f t="shared" si="154"/>
        <v>0</v>
      </c>
      <c r="AC60" s="67"/>
      <c r="AD60" s="5"/>
      <c r="AE60" s="67"/>
      <c r="AF60" s="4">
        <f t="shared" si="155"/>
        <v>0</v>
      </c>
      <c r="AG60" s="67"/>
      <c r="AH60" s="44">
        <f t="shared" si="156"/>
        <v>0</v>
      </c>
      <c r="AI60" s="17"/>
      <c r="AJ60" s="44">
        <f t="shared" si="157"/>
        <v>0</v>
      </c>
      <c r="AK60" s="67"/>
      <c r="AL60" s="44">
        <f t="shared" si="158"/>
        <v>0</v>
      </c>
      <c r="AM60" s="67"/>
      <c r="AN60" s="4">
        <f t="shared" si="159"/>
        <v>0</v>
      </c>
      <c r="AO60" s="67"/>
      <c r="AP60" s="4">
        <f t="shared" si="160"/>
        <v>0</v>
      </c>
      <c r="AQ60" s="17"/>
      <c r="AR60" s="4">
        <f t="shared" si="161"/>
        <v>0</v>
      </c>
      <c r="AS60" s="67"/>
      <c r="AT60" s="4">
        <f t="shared" si="162"/>
        <v>0</v>
      </c>
      <c r="AU60" s="73">
        <f t="shared" si="163"/>
        <v>7.3923840000000061</v>
      </c>
    </row>
    <row r="61" spans="1:47" s="8" customFormat="1" x14ac:dyDescent="0.25">
      <c r="A61" s="21" t="s">
        <v>27</v>
      </c>
      <c r="B61" s="9">
        <f>IF(A61="",0,((U61)*10%))</f>
        <v>27.498239999999999</v>
      </c>
      <c r="C61" s="9"/>
      <c r="D61" s="9">
        <f t="shared" si="140"/>
        <v>0</v>
      </c>
      <c r="E61" s="10"/>
      <c r="F61" s="54" t="s">
        <v>38</v>
      </c>
      <c r="G61" s="27" t="s">
        <v>46</v>
      </c>
      <c r="H61" s="54" t="s">
        <v>59</v>
      </c>
      <c r="I61" s="9" t="s">
        <v>2</v>
      </c>
      <c r="J61" s="5">
        <f t="shared" si="141"/>
        <v>924</v>
      </c>
      <c r="K61" s="9"/>
      <c r="L61" s="9">
        <v>462</v>
      </c>
      <c r="M61" s="9">
        <f t="shared" si="142"/>
        <v>462</v>
      </c>
      <c r="N61" s="9"/>
      <c r="O61" s="72">
        <f t="shared" si="143"/>
        <v>462</v>
      </c>
      <c r="P61" s="74">
        <f t="shared" si="144"/>
        <v>46.2</v>
      </c>
      <c r="Q61" s="9">
        <f t="shared" si="145"/>
        <v>46.2</v>
      </c>
      <c r="R61" s="27">
        <f t="shared" si="146"/>
        <v>73.92</v>
      </c>
      <c r="S61" s="27">
        <f t="shared" si="147"/>
        <v>20.697600000000001</v>
      </c>
      <c r="T61" s="27">
        <f t="shared" si="148"/>
        <v>27.498239999999999</v>
      </c>
      <c r="U61" s="29">
        <f t="shared" si="149"/>
        <v>274.98239999999998</v>
      </c>
      <c r="V61" s="27">
        <f t="shared" si="150"/>
        <v>247.48415999999997</v>
      </c>
      <c r="W61" s="28"/>
      <c r="X61" s="13">
        <f>100%-Y61-AA61-AC61-AE61-AG61-AI61-AK61-AM61-AO61-AQ61</f>
        <v>3.0000000000000027E-2</v>
      </c>
      <c r="Y61" s="17">
        <f t="shared" si="152"/>
        <v>0.97</v>
      </c>
      <c r="Z61" s="5">
        <f t="shared" si="153"/>
        <v>360.17963520000001</v>
      </c>
      <c r="AA61" s="17"/>
      <c r="AB61" s="5">
        <f t="shared" si="154"/>
        <v>0</v>
      </c>
      <c r="AC61" s="67"/>
      <c r="AD61" s="5"/>
      <c r="AE61" s="67"/>
      <c r="AF61" s="4">
        <f t="shared" si="155"/>
        <v>0</v>
      </c>
      <c r="AG61" s="67"/>
      <c r="AH61" s="44">
        <f t="shared" si="156"/>
        <v>0</v>
      </c>
      <c r="AI61" s="17"/>
      <c r="AJ61" s="44">
        <f t="shared" si="157"/>
        <v>0</v>
      </c>
      <c r="AK61" s="67"/>
      <c r="AL61" s="44">
        <f t="shared" si="158"/>
        <v>0</v>
      </c>
      <c r="AM61" s="67"/>
      <c r="AN61" s="4">
        <f t="shared" si="159"/>
        <v>0</v>
      </c>
      <c r="AO61" s="67"/>
      <c r="AP61" s="4">
        <f t="shared" si="160"/>
        <v>0</v>
      </c>
      <c r="AQ61" s="17"/>
      <c r="AR61" s="4">
        <f t="shared" si="161"/>
        <v>0</v>
      </c>
      <c r="AS61" s="67"/>
      <c r="AT61" s="4">
        <f t="shared" si="162"/>
        <v>0</v>
      </c>
      <c r="AU61" s="73">
        <f t="shared" si="163"/>
        <v>7.4245248000000057</v>
      </c>
    </row>
    <row r="62" spans="1:47" s="8" customFormat="1" x14ac:dyDescent="0.25">
      <c r="A62" s="21"/>
      <c r="B62" s="9">
        <f t="shared" ref="B62:B65" si="164">IF(A62="",0,((U62)*10%))</f>
        <v>0</v>
      </c>
      <c r="C62" s="9"/>
      <c r="D62" s="9">
        <f t="shared" si="140"/>
        <v>0</v>
      </c>
      <c r="E62" s="10"/>
      <c r="F62" s="54" t="s">
        <v>38</v>
      </c>
      <c r="G62" s="27" t="s">
        <v>46</v>
      </c>
      <c r="H62" s="54" t="s">
        <v>60</v>
      </c>
      <c r="I62" s="9" t="s">
        <v>6</v>
      </c>
      <c r="J62" s="5">
        <f t="shared" si="141"/>
        <v>924</v>
      </c>
      <c r="K62" s="9"/>
      <c r="L62" s="9">
        <v>462</v>
      </c>
      <c r="M62" s="9">
        <f t="shared" si="142"/>
        <v>462</v>
      </c>
      <c r="N62" s="9">
        <v>0</v>
      </c>
      <c r="O62" s="72">
        <f t="shared" si="143"/>
        <v>462</v>
      </c>
      <c r="P62" s="74">
        <f t="shared" si="144"/>
        <v>46.2</v>
      </c>
      <c r="Q62" s="9">
        <f t="shared" si="145"/>
        <v>46.2</v>
      </c>
      <c r="R62" s="27">
        <f t="shared" si="146"/>
        <v>73.92</v>
      </c>
      <c r="S62" s="27">
        <f t="shared" si="147"/>
        <v>20.697600000000001</v>
      </c>
      <c r="T62" s="27">
        <f t="shared" si="148"/>
        <v>27.498239999999999</v>
      </c>
      <c r="U62" s="29">
        <f t="shared" si="149"/>
        <v>274.98239999999998</v>
      </c>
      <c r="V62" s="27">
        <f t="shared" si="150"/>
        <v>274.98239999999998</v>
      </c>
      <c r="W62" s="28"/>
      <c r="X62" s="13">
        <f t="shared" ref="X62:X64" si="165">100%-Y62-AA62-AC62-AE62-AG62-AI62-AK62-AM62-AO62-AQ62</f>
        <v>3.0000000000000027E-2</v>
      </c>
      <c r="Y62" s="17">
        <f t="shared" si="152"/>
        <v>0.97</v>
      </c>
      <c r="Z62" s="5">
        <f t="shared" si="153"/>
        <v>386.85292799999996</v>
      </c>
      <c r="AA62" s="17"/>
      <c r="AB62" s="5">
        <f t="shared" si="154"/>
        <v>0</v>
      </c>
      <c r="AC62" s="67"/>
      <c r="AD62" s="5"/>
      <c r="AE62" s="67"/>
      <c r="AF62" s="4">
        <f t="shared" si="155"/>
        <v>0</v>
      </c>
      <c r="AG62" s="67"/>
      <c r="AH62" s="44">
        <f t="shared" si="156"/>
        <v>0</v>
      </c>
      <c r="AI62" s="17"/>
      <c r="AJ62" s="44">
        <f t="shared" si="157"/>
        <v>0</v>
      </c>
      <c r="AK62" s="67"/>
      <c r="AL62" s="44">
        <f t="shared" si="158"/>
        <v>0</v>
      </c>
      <c r="AM62" s="67"/>
      <c r="AN62" s="4">
        <f t="shared" si="159"/>
        <v>0</v>
      </c>
      <c r="AO62" s="67"/>
      <c r="AP62" s="4">
        <f t="shared" si="160"/>
        <v>0</v>
      </c>
      <c r="AQ62" s="17"/>
      <c r="AR62" s="4">
        <f t="shared" si="161"/>
        <v>0</v>
      </c>
      <c r="AS62" s="67"/>
      <c r="AT62" s="4">
        <f t="shared" si="162"/>
        <v>0</v>
      </c>
      <c r="AU62" s="73">
        <f t="shared" si="163"/>
        <v>8.2494720000000061</v>
      </c>
    </row>
    <row r="63" spans="1:47" s="8" customFormat="1" x14ac:dyDescent="0.25">
      <c r="A63" s="21"/>
      <c r="B63" s="9">
        <f t="shared" si="164"/>
        <v>0</v>
      </c>
      <c r="C63" s="9"/>
      <c r="D63" s="9">
        <f t="shared" si="140"/>
        <v>0</v>
      </c>
      <c r="E63" s="10"/>
      <c r="F63" s="54" t="s">
        <v>38</v>
      </c>
      <c r="G63" s="27" t="s">
        <v>46</v>
      </c>
      <c r="H63" s="54" t="s">
        <v>61</v>
      </c>
      <c r="I63" s="9" t="s">
        <v>7</v>
      </c>
      <c r="J63" s="5">
        <f t="shared" si="141"/>
        <v>924</v>
      </c>
      <c r="K63" s="9"/>
      <c r="L63" s="9">
        <v>462</v>
      </c>
      <c r="M63" s="9">
        <f t="shared" si="142"/>
        <v>462</v>
      </c>
      <c r="N63" s="9">
        <v>0</v>
      </c>
      <c r="O63" s="72">
        <f t="shared" si="143"/>
        <v>462</v>
      </c>
      <c r="P63" s="74">
        <f t="shared" si="144"/>
        <v>46.2</v>
      </c>
      <c r="Q63" s="9"/>
      <c r="R63" s="27">
        <f t="shared" si="146"/>
        <v>83.160000000000011</v>
      </c>
      <c r="S63" s="27">
        <f t="shared" si="147"/>
        <v>23.284800000000001</v>
      </c>
      <c r="T63" s="27">
        <f t="shared" si="148"/>
        <v>30.935519999999997</v>
      </c>
      <c r="U63" s="29">
        <f t="shared" si="149"/>
        <v>309.35519999999997</v>
      </c>
      <c r="V63" s="27">
        <f t="shared" si="150"/>
        <v>309.35519999999997</v>
      </c>
      <c r="W63" s="28"/>
      <c r="X63" s="13">
        <f t="shared" si="165"/>
        <v>3.0000000000000027E-2</v>
      </c>
      <c r="Y63" s="17">
        <f t="shared" si="152"/>
        <v>0.97</v>
      </c>
      <c r="Z63" s="5">
        <f t="shared" si="153"/>
        <v>383.23454399999997</v>
      </c>
      <c r="AA63" s="17"/>
      <c r="AB63" s="5">
        <f t="shared" si="154"/>
        <v>0</v>
      </c>
      <c r="AC63" s="67"/>
      <c r="AD63" s="5"/>
      <c r="AE63" s="67"/>
      <c r="AF63" s="4">
        <f t="shared" si="155"/>
        <v>0</v>
      </c>
      <c r="AG63" s="67"/>
      <c r="AH63" s="44">
        <f t="shared" si="156"/>
        <v>0</v>
      </c>
      <c r="AI63" s="17"/>
      <c r="AJ63" s="44">
        <f t="shared" si="157"/>
        <v>0</v>
      </c>
      <c r="AK63" s="67"/>
      <c r="AL63" s="44">
        <f t="shared" si="158"/>
        <v>0</v>
      </c>
      <c r="AM63" s="67"/>
      <c r="AN63" s="4">
        <f t="shared" si="159"/>
        <v>0</v>
      </c>
      <c r="AO63" s="67"/>
      <c r="AP63" s="4">
        <f t="shared" si="160"/>
        <v>0</v>
      </c>
      <c r="AQ63" s="17"/>
      <c r="AR63" s="4">
        <f t="shared" si="161"/>
        <v>0</v>
      </c>
      <c r="AS63" s="67"/>
      <c r="AT63" s="4">
        <f t="shared" si="162"/>
        <v>0</v>
      </c>
      <c r="AU63" s="73">
        <f t="shared" si="163"/>
        <v>9.2806560000000076</v>
      </c>
    </row>
    <row r="64" spans="1:47" s="8" customFormat="1" x14ac:dyDescent="0.25">
      <c r="A64" s="21"/>
      <c r="B64" s="9">
        <f t="shared" si="164"/>
        <v>0</v>
      </c>
      <c r="C64" s="9"/>
      <c r="D64" s="9">
        <f t="shared" si="140"/>
        <v>0</v>
      </c>
      <c r="E64" s="10"/>
      <c r="F64" s="54" t="s">
        <v>38</v>
      </c>
      <c r="G64" s="27" t="s">
        <v>46</v>
      </c>
      <c r="H64" s="54" t="s">
        <v>62</v>
      </c>
      <c r="I64" s="9" t="s">
        <v>8</v>
      </c>
      <c r="J64" s="5">
        <f t="shared" si="141"/>
        <v>924</v>
      </c>
      <c r="K64" s="9"/>
      <c r="L64" s="9">
        <v>462</v>
      </c>
      <c r="M64" s="9">
        <f t="shared" si="142"/>
        <v>462</v>
      </c>
      <c r="N64" s="9">
        <v>0</v>
      </c>
      <c r="O64" s="72">
        <f t="shared" si="143"/>
        <v>462</v>
      </c>
      <c r="P64" s="74">
        <f t="shared" si="144"/>
        <v>46.2</v>
      </c>
      <c r="Q64" s="9"/>
      <c r="R64" s="27"/>
      <c r="S64" s="27">
        <f t="shared" si="147"/>
        <v>29.106000000000005</v>
      </c>
      <c r="T64" s="27">
        <f t="shared" si="148"/>
        <v>38.669400000000003</v>
      </c>
      <c r="U64" s="29">
        <f t="shared" si="149"/>
        <v>386.69400000000002</v>
      </c>
      <c r="V64" s="27">
        <f t="shared" si="150"/>
        <v>386.69400000000002</v>
      </c>
      <c r="W64" s="28"/>
      <c r="X64" s="13">
        <f t="shared" si="165"/>
        <v>3.0000000000000068E-2</v>
      </c>
      <c r="Y64" s="17">
        <f t="shared" si="152"/>
        <v>0.91999999999999993</v>
      </c>
      <c r="Z64" s="5">
        <f t="shared" si="153"/>
        <v>355.75847999999996</v>
      </c>
      <c r="AA64" s="17">
        <v>0.05</v>
      </c>
      <c r="AB64" s="5">
        <f t="shared" si="154"/>
        <v>19.334700000000002</v>
      </c>
      <c r="AC64" s="67"/>
      <c r="AD64" s="5"/>
      <c r="AE64" s="67"/>
      <c r="AF64" s="4">
        <f t="shared" si="155"/>
        <v>0</v>
      </c>
      <c r="AG64" s="67"/>
      <c r="AH64" s="44">
        <f t="shared" si="156"/>
        <v>0</v>
      </c>
      <c r="AI64" s="17"/>
      <c r="AJ64" s="44">
        <f t="shared" si="157"/>
        <v>0</v>
      </c>
      <c r="AK64" s="67"/>
      <c r="AL64" s="44">
        <f t="shared" si="158"/>
        <v>0</v>
      </c>
      <c r="AM64" s="67"/>
      <c r="AN64" s="4">
        <f t="shared" si="159"/>
        <v>0</v>
      </c>
      <c r="AO64" s="67"/>
      <c r="AP64" s="4">
        <f t="shared" si="160"/>
        <v>0</v>
      </c>
      <c r="AQ64" s="17"/>
      <c r="AR64" s="4">
        <f t="shared" si="161"/>
        <v>0</v>
      </c>
      <c r="AS64" s="67"/>
      <c r="AT64" s="4">
        <f t="shared" si="162"/>
        <v>0</v>
      </c>
      <c r="AU64" s="73">
        <f t="shared" si="163"/>
        <v>11.600820000000027</v>
      </c>
    </row>
    <row r="65" spans="1:47" s="8" customFormat="1" x14ac:dyDescent="0.25">
      <c r="A65" s="21"/>
      <c r="B65" s="9">
        <f t="shared" si="164"/>
        <v>0</v>
      </c>
      <c r="C65" s="9"/>
      <c r="D65" s="9">
        <f t="shared" si="140"/>
        <v>0</v>
      </c>
      <c r="E65" s="10"/>
      <c r="F65" s="54" t="s">
        <v>38</v>
      </c>
      <c r="G65" s="27" t="s">
        <v>46</v>
      </c>
      <c r="H65" s="54" t="s">
        <v>63</v>
      </c>
      <c r="I65" s="9" t="s">
        <v>9</v>
      </c>
      <c r="J65" s="5">
        <f t="shared" si="141"/>
        <v>924</v>
      </c>
      <c r="K65" s="9"/>
      <c r="L65" s="9">
        <v>462</v>
      </c>
      <c r="M65" s="9">
        <f t="shared" si="142"/>
        <v>462</v>
      </c>
      <c r="N65" s="9"/>
      <c r="O65" s="72">
        <f t="shared" si="143"/>
        <v>462</v>
      </c>
      <c r="P65" s="74">
        <f t="shared" ref="P65" si="166">(M65-N65)*15%</f>
        <v>69.3</v>
      </c>
      <c r="Q65" s="9"/>
      <c r="R65" s="27"/>
      <c r="S65" s="27">
        <f t="shared" si="147"/>
        <v>27.489000000000001</v>
      </c>
      <c r="T65" s="27"/>
      <c r="U65" s="29">
        <f t="shared" si="149"/>
        <v>365.21100000000001</v>
      </c>
      <c r="V65" s="27">
        <f t="shared" si="150"/>
        <v>365.21100000000001</v>
      </c>
      <c r="W65" s="28"/>
      <c r="X65" s="13">
        <f>100%-Y65-AA65-AC65-AE65-AG65-AI65-AK65-AM65-AO65-AQ65</f>
        <v>3.0000000000000068E-2</v>
      </c>
      <c r="Y65" s="17">
        <f t="shared" si="152"/>
        <v>0.91999999999999993</v>
      </c>
      <c r="Z65" s="5">
        <f t="shared" si="153"/>
        <v>335.99412000000001</v>
      </c>
      <c r="AA65" s="17">
        <v>0.05</v>
      </c>
      <c r="AB65" s="5">
        <f t="shared" si="154"/>
        <v>18.260550000000002</v>
      </c>
      <c r="AC65" s="67"/>
      <c r="AD65" s="5"/>
      <c r="AE65" s="67"/>
      <c r="AF65" s="4">
        <f t="shared" si="155"/>
        <v>0</v>
      </c>
      <c r="AG65" s="67"/>
      <c r="AH65" s="44">
        <f t="shared" si="156"/>
        <v>0</v>
      </c>
      <c r="AI65" s="17"/>
      <c r="AJ65" s="44">
        <f t="shared" si="157"/>
        <v>0</v>
      </c>
      <c r="AK65" s="67"/>
      <c r="AL65" s="44">
        <f t="shared" si="158"/>
        <v>0</v>
      </c>
      <c r="AM65" s="67"/>
      <c r="AN65" s="4">
        <f t="shared" si="159"/>
        <v>0</v>
      </c>
      <c r="AO65" s="67"/>
      <c r="AP65" s="4">
        <f t="shared" si="160"/>
        <v>0</v>
      </c>
      <c r="AQ65" s="17"/>
      <c r="AR65" s="4">
        <f t="shared" si="161"/>
        <v>0</v>
      </c>
      <c r="AS65" s="67"/>
      <c r="AT65" s="4">
        <f t="shared" si="162"/>
        <v>0</v>
      </c>
      <c r="AU65" s="73">
        <f t="shared" si="163"/>
        <v>10.956330000000026</v>
      </c>
    </row>
    <row r="66" spans="1:47" s="8" customFormat="1" x14ac:dyDescent="0.25">
      <c r="A66" s="21"/>
      <c r="B66" s="9"/>
      <c r="C66" s="9"/>
      <c r="D66" s="9"/>
      <c r="E66" s="10"/>
      <c r="F66" s="54" t="s">
        <v>38</v>
      </c>
      <c r="G66" s="27" t="s">
        <v>46</v>
      </c>
      <c r="H66" s="54" t="s">
        <v>64</v>
      </c>
      <c r="I66" s="9" t="s">
        <v>10</v>
      </c>
      <c r="J66" s="9">
        <f t="shared" si="141"/>
        <v>924</v>
      </c>
      <c r="K66" s="5"/>
      <c r="L66" s="9">
        <v>462</v>
      </c>
      <c r="M66" s="9">
        <f t="shared" si="142"/>
        <v>462</v>
      </c>
      <c r="N66" s="5"/>
      <c r="O66" s="72">
        <f t="shared" si="143"/>
        <v>462</v>
      </c>
      <c r="P66" s="74">
        <f t="shared" ref="P66:P68" si="167">(M66-N66)*5%</f>
        <v>23.1</v>
      </c>
      <c r="Q66" s="9"/>
      <c r="R66" s="27"/>
      <c r="S66" s="27">
        <f t="shared" ref="S66:S68" si="168">(O66-P66)*7%</f>
        <v>30.723000000000003</v>
      </c>
      <c r="T66" s="27"/>
      <c r="U66" s="29">
        <f t="shared" si="149"/>
        <v>408.17699999999996</v>
      </c>
      <c r="V66" s="27">
        <f t="shared" si="150"/>
        <v>408.17699999999996</v>
      </c>
      <c r="W66" s="28"/>
      <c r="X66" s="13">
        <f t="shared" ref="X66:X68" si="169">100%-Y66-AA66-AC66-AE66-AG66-AI66-AK66-AM66-AO66-AQ66</f>
        <v>9.9999999999999811E-3</v>
      </c>
      <c r="Y66" s="17">
        <f t="shared" ref="Y66:Y68" si="170">(99%-AA66-AC66-AE66-AG66-AI66-AK66-AM66-AO66-AQ66)</f>
        <v>0.78</v>
      </c>
      <c r="Z66" s="9">
        <f t="shared" si="153"/>
        <v>318.37806</v>
      </c>
      <c r="AA66" s="17">
        <v>0.15</v>
      </c>
      <c r="AB66" s="5">
        <f t="shared" si="154"/>
        <v>61.226549999999989</v>
      </c>
      <c r="AC66" s="17">
        <v>0.06</v>
      </c>
      <c r="AD66" s="9">
        <f t="shared" ref="AD66:AD68" si="171">V66*AC66</f>
        <v>24.490619999999996</v>
      </c>
      <c r="AE66" s="67"/>
      <c r="AF66" s="4">
        <f t="shared" si="155"/>
        <v>0</v>
      </c>
      <c r="AG66" s="67"/>
      <c r="AH66" s="57">
        <f t="shared" si="156"/>
        <v>0</v>
      </c>
      <c r="AI66" s="17"/>
      <c r="AJ66" s="57">
        <f t="shared" si="157"/>
        <v>0</v>
      </c>
      <c r="AK66" s="67"/>
      <c r="AL66" s="57">
        <f t="shared" si="158"/>
        <v>0</v>
      </c>
      <c r="AM66" s="67"/>
      <c r="AN66" s="9">
        <f t="shared" si="159"/>
        <v>0</v>
      </c>
      <c r="AO66" s="67"/>
      <c r="AP66" s="10">
        <f t="shared" si="160"/>
        <v>0</v>
      </c>
      <c r="AQ66" s="17"/>
      <c r="AR66" s="10">
        <f t="shared" si="161"/>
        <v>0</v>
      </c>
      <c r="AS66" s="67"/>
      <c r="AT66" s="10">
        <f t="shared" si="162"/>
        <v>0</v>
      </c>
      <c r="AU66" s="73">
        <f t="shared" si="163"/>
        <v>4.0817699999999917</v>
      </c>
    </row>
    <row r="67" spans="1:47" s="8" customFormat="1" x14ac:dyDescent="0.25">
      <c r="A67" s="21"/>
      <c r="B67" s="9">
        <f t="shared" ref="B67:B68" si="172">IF(A67="",0,((U67)*10%))</f>
        <v>0</v>
      </c>
      <c r="C67" s="9"/>
      <c r="D67" s="9">
        <f t="shared" si="140"/>
        <v>0</v>
      </c>
      <c r="E67" s="10"/>
      <c r="F67" s="54" t="s">
        <v>38</v>
      </c>
      <c r="G67" s="27" t="s">
        <v>46</v>
      </c>
      <c r="H67" s="54" t="s">
        <v>65</v>
      </c>
      <c r="I67" s="9" t="s">
        <v>11</v>
      </c>
      <c r="J67" s="5">
        <f t="shared" si="141"/>
        <v>924</v>
      </c>
      <c r="K67" s="9"/>
      <c r="L67" s="9">
        <v>462</v>
      </c>
      <c r="M67" s="9"/>
      <c r="N67" s="9">
        <v>0</v>
      </c>
      <c r="O67" s="72">
        <f t="shared" si="143"/>
        <v>0</v>
      </c>
      <c r="P67" s="74">
        <f t="shared" si="167"/>
        <v>0</v>
      </c>
      <c r="Q67" s="9"/>
      <c r="R67" s="27"/>
      <c r="S67" s="27">
        <f t="shared" si="168"/>
        <v>0</v>
      </c>
      <c r="T67" s="27"/>
      <c r="U67" s="29">
        <f t="shared" si="149"/>
        <v>0</v>
      </c>
      <c r="V67" s="27">
        <f t="shared" si="150"/>
        <v>0</v>
      </c>
      <c r="W67" s="28"/>
      <c r="X67" s="13">
        <f t="shared" si="169"/>
        <v>9.9999999999999811E-3</v>
      </c>
      <c r="Y67" s="17">
        <f t="shared" si="170"/>
        <v>0.78</v>
      </c>
      <c r="Z67" s="9">
        <f t="shared" si="153"/>
        <v>0</v>
      </c>
      <c r="AA67" s="17">
        <v>0.15</v>
      </c>
      <c r="AB67" s="5">
        <f t="shared" si="154"/>
        <v>0</v>
      </c>
      <c r="AC67" s="17">
        <v>0.06</v>
      </c>
      <c r="AD67" s="9">
        <f t="shared" si="171"/>
        <v>0</v>
      </c>
      <c r="AE67" s="17"/>
      <c r="AF67" s="4">
        <f t="shared" si="155"/>
        <v>0</v>
      </c>
      <c r="AG67" s="17"/>
      <c r="AH67" s="44">
        <f t="shared" si="156"/>
        <v>0</v>
      </c>
      <c r="AI67" s="17"/>
      <c r="AJ67" s="44">
        <f t="shared" si="157"/>
        <v>0</v>
      </c>
      <c r="AK67" s="17"/>
      <c r="AL67" s="44">
        <f t="shared" si="158"/>
        <v>0</v>
      </c>
      <c r="AM67" s="17"/>
      <c r="AN67" s="5">
        <f t="shared" si="159"/>
        <v>0</v>
      </c>
      <c r="AO67" s="17"/>
      <c r="AP67" s="4">
        <f t="shared" si="160"/>
        <v>0</v>
      </c>
      <c r="AQ67" s="17"/>
      <c r="AR67" s="4">
        <f t="shared" si="161"/>
        <v>0</v>
      </c>
      <c r="AS67" s="17"/>
      <c r="AT67" s="4">
        <f t="shared" si="162"/>
        <v>0</v>
      </c>
      <c r="AU67" s="73">
        <f t="shared" si="163"/>
        <v>0</v>
      </c>
    </row>
    <row r="68" spans="1:47" s="8" customFormat="1" x14ac:dyDescent="0.25">
      <c r="A68" s="21"/>
      <c r="B68" s="9">
        <f t="shared" si="172"/>
        <v>0</v>
      </c>
      <c r="C68" s="9"/>
      <c r="D68" s="9">
        <f t="shared" si="140"/>
        <v>0</v>
      </c>
      <c r="E68" s="10"/>
      <c r="F68" s="54" t="s">
        <v>38</v>
      </c>
      <c r="G68" s="27" t="s">
        <v>46</v>
      </c>
      <c r="H68" s="54" t="s">
        <v>66</v>
      </c>
      <c r="I68" s="9" t="s">
        <v>12</v>
      </c>
      <c r="J68" s="5">
        <f t="shared" si="141"/>
        <v>924</v>
      </c>
      <c r="K68" s="9"/>
      <c r="L68" s="9">
        <v>462</v>
      </c>
      <c r="M68" s="9"/>
      <c r="N68" s="9">
        <v>0</v>
      </c>
      <c r="O68" s="72">
        <f t="shared" si="143"/>
        <v>0</v>
      </c>
      <c r="P68" s="74">
        <f t="shared" si="167"/>
        <v>0</v>
      </c>
      <c r="Q68" s="9"/>
      <c r="R68" s="27"/>
      <c r="S68" s="27">
        <f t="shared" si="168"/>
        <v>0</v>
      </c>
      <c r="T68" s="27"/>
      <c r="U68" s="29">
        <f t="shared" si="149"/>
        <v>0</v>
      </c>
      <c r="V68" s="27">
        <f t="shared" si="150"/>
        <v>0</v>
      </c>
      <c r="W68" s="28"/>
      <c r="X68" s="13">
        <f t="shared" si="169"/>
        <v>9.9999999999999811E-3</v>
      </c>
      <c r="Y68" s="17">
        <f t="shared" si="170"/>
        <v>0.78</v>
      </c>
      <c r="Z68" s="9">
        <f t="shared" si="153"/>
        <v>0</v>
      </c>
      <c r="AA68" s="17">
        <v>0.15</v>
      </c>
      <c r="AB68" s="5">
        <f t="shared" si="154"/>
        <v>0</v>
      </c>
      <c r="AC68" s="17">
        <v>0.06</v>
      </c>
      <c r="AD68" s="9">
        <f t="shared" si="171"/>
        <v>0</v>
      </c>
      <c r="AE68" s="17"/>
      <c r="AF68" s="4">
        <f t="shared" si="155"/>
        <v>0</v>
      </c>
      <c r="AG68" s="17"/>
      <c r="AH68" s="44">
        <f t="shared" si="156"/>
        <v>0</v>
      </c>
      <c r="AI68" s="17"/>
      <c r="AJ68" s="44">
        <f t="shared" si="157"/>
        <v>0</v>
      </c>
      <c r="AK68" s="17"/>
      <c r="AL68" s="44">
        <f t="shared" si="158"/>
        <v>0</v>
      </c>
      <c r="AM68" s="17"/>
      <c r="AN68" s="5">
        <f t="shared" si="159"/>
        <v>0</v>
      </c>
      <c r="AO68" s="17"/>
      <c r="AP68" s="4">
        <f t="shared" si="160"/>
        <v>0</v>
      </c>
      <c r="AQ68" s="17"/>
      <c r="AR68" s="4">
        <f t="shared" si="161"/>
        <v>0</v>
      </c>
      <c r="AS68" s="17"/>
      <c r="AT68" s="4">
        <f t="shared" si="162"/>
        <v>0</v>
      </c>
      <c r="AU68" s="73">
        <f t="shared" si="163"/>
        <v>0</v>
      </c>
    </row>
    <row r="69" spans="1:47" x14ac:dyDescent="0.25">
      <c r="A69" s="21"/>
      <c r="C69" s="9"/>
      <c r="D69" s="10"/>
      <c r="E69" s="10"/>
      <c r="F69" s="8"/>
      <c r="G69" s="8"/>
      <c r="H69" s="8"/>
      <c r="I69" s="9"/>
      <c r="J69" s="9"/>
      <c r="K69" s="9"/>
      <c r="L69" s="9"/>
      <c r="M69" s="9"/>
      <c r="N69" s="9"/>
      <c r="O69" s="9"/>
      <c r="P69" s="9"/>
      <c r="Q69" s="9"/>
      <c r="Z69" s="5"/>
      <c r="AB69" s="5"/>
      <c r="AD69" s="5"/>
      <c r="AH69" s="44"/>
      <c r="AJ69" s="44"/>
      <c r="AL69" s="44"/>
      <c r="AN69" s="5"/>
      <c r="AP69" s="5"/>
      <c r="AR69" s="5"/>
      <c r="AT69" s="5"/>
    </row>
    <row r="70" spans="1:47" s="8" customFormat="1" x14ac:dyDescent="0.25">
      <c r="A70" s="21" t="s">
        <v>27</v>
      </c>
      <c r="B70" s="9">
        <f t="shared" ref="B70:B75" si="173">IF(A70="",0,((U70)*10%))</f>
        <v>68.150399999999991</v>
      </c>
      <c r="C70" s="9"/>
      <c r="D70" s="9">
        <f t="shared" ref="D70:D81" si="174">IF(C70="",0,((U70)*5%))</f>
        <v>0</v>
      </c>
      <c r="E70" s="10"/>
      <c r="F70" s="54" t="s">
        <v>30</v>
      </c>
      <c r="G70" s="27" t="s">
        <v>46</v>
      </c>
      <c r="H70" s="54" t="s">
        <v>55</v>
      </c>
      <c r="I70" s="5" t="s">
        <v>3</v>
      </c>
      <c r="J70" s="5">
        <f t="shared" ref="J70:J81" si="175">L70*2</f>
        <v>2294</v>
      </c>
      <c r="K70" s="5"/>
      <c r="L70" s="9">
        <v>1147</v>
      </c>
      <c r="M70" s="9">
        <f t="shared" ref="M70:M92" si="176">L70</f>
        <v>1147</v>
      </c>
      <c r="N70" s="9">
        <v>2</v>
      </c>
      <c r="O70" s="72">
        <f t="shared" ref="O70:O81" si="177">M70-N70</f>
        <v>1145</v>
      </c>
      <c r="P70" s="74">
        <f t="shared" ref="P70:P77" si="178">(M70-N70)*10%</f>
        <v>114.5</v>
      </c>
      <c r="Q70" s="9">
        <f t="shared" ref="Q70:Q75" si="179">(M70-N70)*10%</f>
        <v>114.5</v>
      </c>
      <c r="R70" s="27">
        <f t="shared" ref="R70:R76" si="180">(M70-N70-P70-Q70)*20%</f>
        <v>183.20000000000002</v>
      </c>
      <c r="S70" s="27">
        <f t="shared" ref="S70:S78" si="181">(O70-P70-Q70-R70)*7%</f>
        <v>51.295999999999999</v>
      </c>
      <c r="T70" s="27">
        <f t="shared" ref="T70:T77" si="182">(M70-N70-P70-Q70-R70-S70)*10%</f>
        <v>68.150399999999991</v>
      </c>
      <c r="U70" s="29">
        <f t="shared" ref="U70:U81" si="183">M70-N70-P70-Q70-R70-S70</f>
        <v>681.50399999999991</v>
      </c>
      <c r="V70" s="27">
        <f t="shared" ref="V70:V81" si="184">U70-B70-D70</f>
        <v>613.35359999999991</v>
      </c>
      <c r="W70" s="28"/>
      <c r="X70" s="13">
        <f t="shared" ref="X70:X73" si="185">100%-Y70-AA70-AC70-AE70-AG70-AI70-AK70-AM70-AO70-AQ70</f>
        <v>3.0000000000000027E-2</v>
      </c>
      <c r="Y70" s="17">
        <f t="shared" ref="Y70:Y78" si="186">(97%-AA70-AC70-AE70-AG70-AI70-AK70-AM70-AO70-AQ70)</f>
        <v>0.97</v>
      </c>
      <c r="Z70" s="5">
        <f t="shared" ref="Z70:Z81" si="187">(V70*Y70)+Q70+R70</f>
        <v>892.65299199999993</v>
      </c>
      <c r="AA70" s="17"/>
      <c r="AB70" s="5">
        <f t="shared" ref="AB70:AB81" si="188">(V70*AA70)</f>
        <v>0</v>
      </c>
      <c r="AC70" s="67"/>
      <c r="AD70" s="5"/>
      <c r="AE70" s="67"/>
      <c r="AF70" s="4">
        <f t="shared" ref="AF70:AF81" si="189">V70*AE70</f>
        <v>0</v>
      </c>
      <c r="AG70" s="67"/>
      <c r="AH70" s="44">
        <f t="shared" ref="AH70:AH81" si="190">V70*AG70</f>
        <v>0</v>
      </c>
      <c r="AI70" s="17"/>
      <c r="AJ70" s="44">
        <f t="shared" ref="AJ70:AJ81" si="191">V70*AI70</f>
        <v>0</v>
      </c>
      <c r="AK70" s="67"/>
      <c r="AL70" s="44">
        <f t="shared" ref="AL70:AL81" si="192">V70*AK70</f>
        <v>0</v>
      </c>
      <c r="AM70" s="67"/>
      <c r="AN70" s="4">
        <f t="shared" ref="AN70:AN81" si="193">V70*AM70</f>
        <v>0</v>
      </c>
      <c r="AO70" s="67"/>
      <c r="AP70" s="4">
        <f t="shared" ref="AP70:AP81" si="194">V70*AO70</f>
        <v>0</v>
      </c>
      <c r="AQ70" s="17"/>
      <c r="AR70" s="4">
        <f t="shared" ref="AR70:AR81" si="195">V70*AQ70</f>
        <v>0</v>
      </c>
      <c r="AS70" s="67"/>
      <c r="AT70" s="4">
        <f t="shared" ref="AT70:AT81" si="196">X70*AS70</f>
        <v>0</v>
      </c>
      <c r="AU70" s="73">
        <f t="shared" ref="AU70:AU81" si="197">V70*X70</f>
        <v>18.400608000000013</v>
      </c>
    </row>
    <row r="71" spans="1:47" s="8" customFormat="1" x14ac:dyDescent="0.25">
      <c r="A71" s="21" t="s">
        <v>27</v>
      </c>
      <c r="B71" s="9">
        <f t="shared" si="173"/>
        <v>68.150399999999991</v>
      </c>
      <c r="C71" s="9"/>
      <c r="D71" s="9">
        <f t="shared" si="174"/>
        <v>0</v>
      </c>
      <c r="E71" s="10"/>
      <c r="F71" s="54" t="s">
        <v>30</v>
      </c>
      <c r="G71" s="27" t="s">
        <v>46</v>
      </c>
      <c r="H71" s="54" t="s">
        <v>56</v>
      </c>
      <c r="I71" s="9" t="s">
        <v>4</v>
      </c>
      <c r="J71" s="5">
        <f t="shared" si="175"/>
        <v>2294</v>
      </c>
      <c r="K71" s="9"/>
      <c r="L71" s="9">
        <v>1147</v>
      </c>
      <c r="M71" s="9">
        <f t="shared" si="176"/>
        <v>1147</v>
      </c>
      <c r="N71" s="9">
        <v>2</v>
      </c>
      <c r="O71" s="72">
        <f t="shared" si="177"/>
        <v>1145</v>
      </c>
      <c r="P71" s="74">
        <f t="shared" si="178"/>
        <v>114.5</v>
      </c>
      <c r="Q71" s="9">
        <f t="shared" si="179"/>
        <v>114.5</v>
      </c>
      <c r="R71" s="27">
        <f t="shared" si="180"/>
        <v>183.20000000000002</v>
      </c>
      <c r="S71" s="27">
        <f t="shared" si="181"/>
        <v>51.295999999999999</v>
      </c>
      <c r="T71" s="27">
        <f t="shared" si="182"/>
        <v>68.150399999999991</v>
      </c>
      <c r="U71" s="29">
        <f t="shared" si="183"/>
        <v>681.50399999999991</v>
      </c>
      <c r="V71" s="27">
        <f t="shared" si="184"/>
        <v>613.35359999999991</v>
      </c>
      <c r="W71" s="28"/>
      <c r="X71" s="13">
        <f t="shared" si="185"/>
        <v>3.0000000000000027E-2</v>
      </c>
      <c r="Y71" s="17">
        <f t="shared" si="186"/>
        <v>0.97</v>
      </c>
      <c r="Z71" s="5">
        <f t="shared" si="187"/>
        <v>892.65299199999993</v>
      </c>
      <c r="AA71" s="17"/>
      <c r="AB71" s="5">
        <f t="shared" si="188"/>
        <v>0</v>
      </c>
      <c r="AC71" s="67"/>
      <c r="AD71" s="5"/>
      <c r="AE71" s="67"/>
      <c r="AF71" s="4">
        <f t="shared" si="189"/>
        <v>0</v>
      </c>
      <c r="AG71" s="67"/>
      <c r="AH71" s="44">
        <f t="shared" si="190"/>
        <v>0</v>
      </c>
      <c r="AI71" s="17"/>
      <c r="AJ71" s="44">
        <f t="shared" si="191"/>
        <v>0</v>
      </c>
      <c r="AK71" s="67"/>
      <c r="AL71" s="44">
        <f t="shared" si="192"/>
        <v>0</v>
      </c>
      <c r="AM71" s="67"/>
      <c r="AN71" s="4">
        <f t="shared" si="193"/>
        <v>0</v>
      </c>
      <c r="AO71" s="67"/>
      <c r="AP71" s="4">
        <f t="shared" si="194"/>
        <v>0</v>
      </c>
      <c r="AQ71" s="17"/>
      <c r="AR71" s="4">
        <f t="shared" si="195"/>
        <v>0</v>
      </c>
      <c r="AS71" s="67"/>
      <c r="AT71" s="4">
        <f t="shared" si="196"/>
        <v>0</v>
      </c>
      <c r="AU71" s="73">
        <f t="shared" si="197"/>
        <v>18.400608000000013</v>
      </c>
    </row>
    <row r="72" spans="1:47" s="8" customFormat="1" x14ac:dyDescent="0.25">
      <c r="A72" s="21" t="s">
        <v>27</v>
      </c>
      <c r="B72" s="9">
        <f t="shared" si="173"/>
        <v>68.269440000000003</v>
      </c>
      <c r="C72" s="9"/>
      <c r="D72" s="9">
        <f t="shared" si="174"/>
        <v>0</v>
      </c>
      <c r="E72" s="10"/>
      <c r="F72" s="54" t="s">
        <v>30</v>
      </c>
      <c r="G72" s="27" t="s">
        <v>46</v>
      </c>
      <c r="H72" s="54" t="s">
        <v>57</v>
      </c>
      <c r="I72" s="9" t="s">
        <v>5</v>
      </c>
      <c r="J72" s="5">
        <f t="shared" si="175"/>
        <v>2294</v>
      </c>
      <c r="K72" s="9"/>
      <c r="L72" s="9">
        <v>1147</v>
      </c>
      <c r="M72" s="9">
        <f t="shared" si="176"/>
        <v>1147</v>
      </c>
      <c r="N72" s="9"/>
      <c r="O72" s="72">
        <f t="shared" si="177"/>
        <v>1147</v>
      </c>
      <c r="P72" s="74">
        <f t="shared" si="178"/>
        <v>114.7</v>
      </c>
      <c r="Q72" s="9">
        <f t="shared" si="179"/>
        <v>114.7</v>
      </c>
      <c r="R72" s="27">
        <f t="shared" si="180"/>
        <v>183.51999999999998</v>
      </c>
      <c r="S72" s="27">
        <f t="shared" si="181"/>
        <v>51.385599999999997</v>
      </c>
      <c r="T72" s="27">
        <f t="shared" si="182"/>
        <v>68.269440000000003</v>
      </c>
      <c r="U72" s="29">
        <f t="shared" si="183"/>
        <v>682.69439999999997</v>
      </c>
      <c r="V72" s="27">
        <f t="shared" si="184"/>
        <v>614.42495999999994</v>
      </c>
      <c r="W72" s="28"/>
      <c r="X72" s="13">
        <f t="shared" si="185"/>
        <v>3.0000000000000027E-2</v>
      </c>
      <c r="Y72" s="17">
        <f t="shared" si="186"/>
        <v>0.97</v>
      </c>
      <c r="Z72" s="5">
        <f t="shared" si="187"/>
        <v>894.21221119999996</v>
      </c>
      <c r="AA72" s="17"/>
      <c r="AB72" s="5">
        <f t="shared" si="188"/>
        <v>0</v>
      </c>
      <c r="AC72" s="67"/>
      <c r="AD72" s="5"/>
      <c r="AE72" s="67"/>
      <c r="AF72" s="4">
        <f t="shared" si="189"/>
        <v>0</v>
      </c>
      <c r="AG72" s="67"/>
      <c r="AH72" s="44">
        <f t="shared" si="190"/>
        <v>0</v>
      </c>
      <c r="AI72" s="17"/>
      <c r="AJ72" s="44">
        <f t="shared" si="191"/>
        <v>0</v>
      </c>
      <c r="AK72" s="67"/>
      <c r="AL72" s="44">
        <f t="shared" si="192"/>
        <v>0</v>
      </c>
      <c r="AM72" s="67"/>
      <c r="AN72" s="4">
        <f t="shared" si="193"/>
        <v>0</v>
      </c>
      <c r="AO72" s="67"/>
      <c r="AP72" s="4">
        <f t="shared" si="194"/>
        <v>0</v>
      </c>
      <c r="AQ72" s="17"/>
      <c r="AR72" s="4">
        <f t="shared" si="195"/>
        <v>0</v>
      </c>
      <c r="AS72" s="67"/>
      <c r="AT72" s="4">
        <f t="shared" si="196"/>
        <v>0</v>
      </c>
      <c r="AU72" s="73">
        <f t="shared" si="197"/>
        <v>18.432748800000013</v>
      </c>
    </row>
    <row r="73" spans="1:47" s="8" customFormat="1" x14ac:dyDescent="0.25">
      <c r="A73" s="21" t="s">
        <v>27</v>
      </c>
      <c r="B73" s="9">
        <f t="shared" si="173"/>
        <v>68.269440000000003</v>
      </c>
      <c r="C73" s="9"/>
      <c r="D73" s="9">
        <f t="shared" si="174"/>
        <v>0</v>
      </c>
      <c r="E73" s="10"/>
      <c r="F73" s="54" t="s">
        <v>30</v>
      </c>
      <c r="G73" s="27" t="s">
        <v>46</v>
      </c>
      <c r="H73" s="54" t="s">
        <v>58</v>
      </c>
      <c r="I73" s="9" t="s">
        <v>1</v>
      </c>
      <c r="J73" s="5">
        <f t="shared" si="175"/>
        <v>2294</v>
      </c>
      <c r="K73" s="9"/>
      <c r="L73" s="9">
        <v>1147</v>
      </c>
      <c r="M73" s="9">
        <f t="shared" si="176"/>
        <v>1147</v>
      </c>
      <c r="N73" s="9"/>
      <c r="O73" s="72">
        <f t="shared" si="177"/>
        <v>1147</v>
      </c>
      <c r="P73" s="74">
        <f t="shared" si="178"/>
        <v>114.7</v>
      </c>
      <c r="Q73" s="9">
        <f t="shared" si="179"/>
        <v>114.7</v>
      </c>
      <c r="R73" s="27">
        <f t="shared" si="180"/>
        <v>183.51999999999998</v>
      </c>
      <c r="S73" s="27">
        <f t="shared" si="181"/>
        <v>51.385599999999997</v>
      </c>
      <c r="T73" s="27">
        <f t="shared" si="182"/>
        <v>68.269440000000003</v>
      </c>
      <c r="U73" s="29">
        <f t="shared" si="183"/>
        <v>682.69439999999997</v>
      </c>
      <c r="V73" s="27">
        <f t="shared" si="184"/>
        <v>614.42495999999994</v>
      </c>
      <c r="W73" s="28"/>
      <c r="X73" s="13">
        <f t="shared" si="185"/>
        <v>3.0000000000000027E-2</v>
      </c>
      <c r="Y73" s="17">
        <f t="shared" si="186"/>
        <v>0.97</v>
      </c>
      <c r="Z73" s="5">
        <f t="shared" si="187"/>
        <v>894.21221119999996</v>
      </c>
      <c r="AA73" s="17"/>
      <c r="AB73" s="5">
        <f t="shared" si="188"/>
        <v>0</v>
      </c>
      <c r="AC73" s="67"/>
      <c r="AD73" s="5"/>
      <c r="AE73" s="67"/>
      <c r="AF73" s="4">
        <f t="shared" si="189"/>
        <v>0</v>
      </c>
      <c r="AG73" s="67"/>
      <c r="AH73" s="44">
        <f t="shared" si="190"/>
        <v>0</v>
      </c>
      <c r="AI73" s="17"/>
      <c r="AJ73" s="44">
        <f t="shared" si="191"/>
        <v>0</v>
      </c>
      <c r="AK73" s="67"/>
      <c r="AL73" s="44">
        <f t="shared" si="192"/>
        <v>0</v>
      </c>
      <c r="AM73" s="67"/>
      <c r="AN73" s="4">
        <f t="shared" si="193"/>
        <v>0</v>
      </c>
      <c r="AO73" s="67"/>
      <c r="AP73" s="4">
        <f t="shared" si="194"/>
        <v>0</v>
      </c>
      <c r="AQ73" s="17"/>
      <c r="AR73" s="4">
        <f t="shared" si="195"/>
        <v>0</v>
      </c>
      <c r="AS73" s="67"/>
      <c r="AT73" s="4">
        <f t="shared" si="196"/>
        <v>0</v>
      </c>
      <c r="AU73" s="73">
        <f t="shared" si="197"/>
        <v>18.432748800000013</v>
      </c>
    </row>
    <row r="74" spans="1:47" s="8" customFormat="1" x14ac:dyDescent="0.25">
      <c r="A74" s="21" t="s">
        <v>27</v>
      </c>
      <c r="B74" s="9">
        <f t="shared" si="173"/>
        <v>68.269440000000003</v>
      </c>
      <c r="C74" s="9"/>
      <c r="D74" s="9">
        <f t="shared" si="174"/>
        <v>0</v>
      </c>
      <c r="E74" s="10"/>
      <c r="F74" s="54" t="s">
        <v>30</v>
      </c>
      <c r="G74" s="27" t="s">
        <v>46</v>
      </c>
      <c r="H74" s="54" t="s">
        <v>59</v>
      </c>
      <c r="I74" s="9" t="s">
        <v>2</v>
      </c>
      <c r="J74" s="5">
        <f t="shared" si="175"/>
        <v>2294</v>
      </c>
      <c r="K74" s="9"/>
      <c r="L74" s="9">
        <v>1147</v>
      </c>
      <c r="M74" s="9">
        <f t="shared" si="176"/>
        <v>1147</v>
      </c>
      <c r="N74" s="9"/>
      <c r="O74" s="72">
        <f t="shared" si="177"/>
        <v>1147</v>
      </c>
      <c r="P74" s="74">
        <f t="shared" si="178"/>
        <v>114.7</v>
      </c>
      <c r="Q74" s="9">
        <f t="shared" si="179"/>
        <v>114.7</v>
      </c>
      <c r="R74" s="27">
        <f t="shared" si="180"/>
        <v>183.51999999999998</v>
      </c>
      <c r="S74" s="27">
        <f t="shared" si="181"/>
        <v>51.385599999999997</v>
      </c>
      <c r="T74" s="27">
        <f t="shared" si="182"/>
        <v>68.269440000000003</v>
      </c>
      <c r="U74" s="29">
        <f t="shared" si="183"/>
        <v>682.69439999999997</v>
      </c>
      <c r="V74" s="27">
        <f t="shared" si="184"/>
        <v>614.42495999999994</v>
      </c>
      <c r="W74" s="28"/>
      <c r="X74" s="13">
        <f>100%-Y74-AA74-AC74-AE74-AG74-AI74-AK74-AM74-AO74-AQ74</f>
        <v>3.0000000000000027E-2</v>
      </c>
      <c r="Y74" s="17">
        <f t="shared" si="186"/>
        <v>0.97</v>
      </c>
      <c r="Z74" s="5">
        <f t="shared" si="187"/>
        <v>894.21221119999996</v>
      </c>
      <c r="AA74" s="17"/>
      <c r="AB74" s="5">
        <f t="shared" si="188"/>
        <v>0</v>
      </c>
      <c r="AC74" s="67"/>
      <c r="AD74" s="5"/>
      <c r="AE74" s="67"/>
      <c r="AF74" s="4">
        <f t="shared" si="189"/>
        <v>0</v>
      </c>
      <c r="AG74" s="67"/>
      <c r="AH74" s="44">
        <f t="shared" si="190"/>
        <v>0</v>
      </c>
      <c r="AI74" s="17"/>
      <c r="AJ74" s="44">
        <f t="shared" si="191"/>
        <v>0</v>
      </c>
      <c r="AK74" s="67"/>
      <c r="AL74" s="44">
        <f t="shared" si="192"/>
        <v>0</v>
      </c>
      <c r="AM74" s="67"/>
      <c r="AN74" s="4">
        <f t="shared" si="193"/>
        <v>0</v>
      </c>
      <c r="AO74" s="67"/>
      <c r="AP74" s="4">
        <f t="shared" si="194"/>
        <v>0</v>
      </c>
      <c r="AQ74" s="17"/>
      <c r="AR74" s="4">
        <f t="shared" si="195"/>
        <v>0</v>
      </c>
      <c r="AS74" s="67"/>
      <c r="AT74" s="4">
        <f t="shared" si="196"/>
        <v>0</v>
      </c>
      <c r="AU74" s="73">
        <f t="shared" si="197"/>
        <v>18.432748800000013</v>
      </c>
    </row>
    <row r="75" spans="1:47" s="8" customFormat="1" x14ac:dyDescent="0.25">
      <c r="A75" s="21" t="s">
        <v>27</v>
      </c>
      <c r="B75" s="9">
        <f t="shared" si="173"/>
        <v>68.269440000000003</v>
      </c>
      <c r="C75" s="9"/>
      <c r="D75" s="9">
        <f t="shared" si="174"/>
        <v>0</v>
      </c>
      <c r="E75" s="10"/>
      <c r="F75" s="54" t="s">
        <v>30</v>
      </c>
      <c r="G75" s="27" t="s">
        <v>46</v>
      </c>
      <c r="H75" s="54" t="s">
        <v>60</v>
      </c>
      <c r="I75" s="9" t="s">
        <v>6</v>
      </c>
      <c r="J75" s="5">
        <f t="shared" si="175"/>
        <v>2294</v>
      </c>
      <c r="K75" s="9"/>
      <c r="L75" s="9">
        <v>1147</v>
      </c>
      <c r="M75" s="9">
        <f t="shared" si="176"/>
        <v>1147</v>
      </c>
      <c r="N75" s="9">
        <v>0</v>
      </c>
      <c r="O75" s="72">
        <f t="shared" si="177"/>
        <v>1147</v>
      </c>
      <c r="P75" s="74">
        <f t="shared" si="178"/>
        <v>114.7</v>
      </c>
      <c r="Q75" s="9">
        <f t="shared" si="179"/>
        <v>114.7</v>
      </c>
      <c r="R75" s="27">
        <f t="shared" si="180"/>
        <v>183.51999999999998</v>
      </c>
      <c r="S75" s="27">
        <f t="shared" si="181"/>
        <v>51.385599999999997</v>
      </c>
      <c r="T75" s="27">
        <f t="shared" si="182"/>
        <v>68.269440000000003</v>
      </c>
      <c r="U75" s="29">
        <f t="shared" si="183"/>
        <v>682.69439999999997</v>
      </c>
      <c r="V75" s="27">
        <f t="shared" si="184"/>
        <v>614.42495999999994</v>
      </c>
      <c r="W75" s="28"/>
      <c r="X75" s="13">
        <f t="shared" ref="X75:X77" si="198">100%-Y75-AA75-AC75-AE75-AG75-AI75-AK75-AM75-AO75-AQ75</f>
        <v>3.0000000000000027E-2</v>
      </c>
      <c r="Y75" s="17">
        <f t="shared" si="186"/>
        <v>0.97</v>
      </c>
      <c r="Z75" s="5">
        <f t="shared" si="187"/>
        <v>894.21221119999996</v>
      </c>
      <c r="AA75" s="17"/>
      <c r="AB75" s="5">
        <f t="shared" si="188"/>
        <v>0</v>
      </c>
      <c r="AC75" s="67"/>
      <c r="AD75" s="5"/>
      <c r="AE75" s="67"/>
      <c r="AF75" s="4">
        <f t="shared" si="189"/>
        <v>0</v>
      </c>
      <c r="AG75" s="67"/>
      <c r="AH75" s="44">
        <f t="shared" si="190"/>
        <v>0</v>
      </c>
      <c r="AI75" s="17"/>
      <c r="AJ75" s="44">
        <f t="shared" si="191"/>
        <v>0</v>
      </c>
      <c r="AK75" s="67"/>
      <c r="AL75" s="44">
        <f t="shared" si="192"/>
        <v>0</v>
      </c>
      <c r="AM75" s="67"/>
      <c r="AN75" s="4">
        <f t="shared" si="193"/>
        <v>0</v>
      </c>
      <c r="AO75" s="67"/>
      <c r="AP75" s="4">
        <f t="shared" si="194"/>
        <v>0</v>
      </c>
      <c r="AQ75" s="17"/>
      <c r="AR75" s="4">
        <f t="shared" si="195"/>
        <v>0</v>
      </c>
      <c r="AS75" s="67"/>
      <c r="AT75" s="4">
        <f t="shared" si="196"/>
        <v>0</v>
      </c>
      <c r="AU75" s="73">
        <f t="shared" si="197"/>
        <v>18.432748800000013</v>
      </c>
    </row>
    <row r="76" spans="1:47" s="8" customFormat="1" x14ac:dyDescent="0.25">
      <c r="A76" s="21"/>
      <c r="B76" s="9">
        <f t="shared" ref="B76:B81" si="199">IF(A76="",0,((U76)*10%))</f>
        <v>0</v>
      </c>
      <c r="C76" s="9"/>
      <c r="D76" s="9">
        <f t="shared" si="174"/>
        <v>0</v>
      </c>
      <c r="E76" s="10"/>
      <c r="F76" s="54" t="s">
        <v>30</v>
      </c>
      <c r="G76" s="27" t="s">
        <v>46</v>
      </c>
      <c r="H76" s="54" t="s">
        <v>61</v>
      </c>
      <c r="I76" s="9" t="s">
        <v>7</v>
      </c>
      <c r="J76" s="5">
        <f t="shared" si="175"/>
        <v>2294</v>
      </c>
      <c r="K76" s="9"/>
      <c r="L76" s="9">
        <v>1147</v>
      </c>
      <c r="M76" s="9">
        <f t="shared" si="176"/>
        <v>1147</v>
      </c>
      <c r="N76" s="9">
        <v>0</v>
      </c>
      <c r="O76" s="72">
        <f t="shared" si="177"/>
        <v>1147</v>
      </c>
      <c r="P76" s="74">
        <f t="shared" si="178"/>
        <v>114.7</v>
      </c>
      <c r="Q76" s="9"/>
      <c r="R76" s="27">
        <f t="shared" si="180"/>
        <v>206.46</v>
      </c>
      <c r="S76" s="27">
        <f t="shared" si="181"/>
        <v>57.808799999999998</v>
      </c>
      <c r="T76" s="27">
        <f t="shared" si="182"/>
        <v>76.803119999999993</v>
      </c>
      <c r="U76" s="29">
        <f t="shared" si="183"/>
        <v>768.0311999999999</v>
      </c>
      <c r="V76" s="27">
        <f t="shared" si="184"/>
        <v>768.0311999999999</v>
      </c>
      <c r="W76" s="28"/>
      <c r="X76" s="13">
        <f t="shared" si="198"/>
        <v>3.0000000000000027E-2</v>
      </c>
      <c r="Y76" s="17">
        <f t="shared" si="186"/>
        <v>0.97</v>
      </c>
      <c r="Z76" s="5">
        <f t="shared" si="187"/>
        <v>951.45026399999995</v>
      </c>
      <c r="AA76" s="17"/>
      <c r="AB76" s="5">
        <f t="shared" si="188"/>
        <v>0</v>
      </c>
      <c r="AC76" s="67"/>
      <c r="AD76" s="5"/>
      <c r="AE76" s="67"/>
      <c r="AF76" s="4">
        <f t="shared" si="189"/>
        <v>0</v>
      </c>
      <c r="AG76" s="67"/>
      <c r="AH76" s="44">
        <f t="shared" si="190"/>
        <v>0</v>
      </c>
      <c r="AI76" s="17"/>
      <c r="AJ76" s="44">
        <f t="shared" si="191"/>
        <v>0</v>
      </c>
      <c r="AK76" s="67"/>
      <c r="AL76" s="44">
        <f t="shared" si="192"/>
        <v>0</v>
      </c>
      <c r="AM76" s="67"/>
      <c r="AN76" s="4">
        <f t="shared" si="193"/>
        <v>0</v>
      </c>
      <c r="AO76" s="67"/>
      <c r="AP76" s="4">
        <f t="shared" si="194"/>
        <v>0</v>
      </c>
      <c r="AQ76" s="17"/>
      <c r="AR76" s="4">
        <f t="shared" si="195"/>
        <v>0</v>
      </c>
      <c r="AS76" s="67"/>
      <c r="AT76" s="4">
        <f t="shared" si="196"/>
        <v>0</v>
      </c>
      <c r="AU76" s="73">
        <f t="shared" si="197"/>
        <v>23.040936000000016</v>
      </c>
    </row>
    <row r="77" spans="1:47" s="8" customFormat="1" x14ac:dyDescent="0.25">
      <c r="A77" s="21"/>
      <c r="B77" s="9">
        <f t="shared" si="199"/>
        <v>0</v>
      </c>
      <c r="C77" s="9"/>
      <c r="D77" s="9">
        <f t="shared" si="174"/>
        <v>0</v>
      </c>
      <c r="E77" s="10"/>
      <c r="F77" s="54" t="s">
        <v>30</v>
      </c>
      <c r="G77" s="27" t="s">
        <v>46</v>
      </c>
      <c r="H77" s="54" t="s">
        <v>62</v>
      </c>
      <c r="I77" s="9" t="s">
        <v>8</v>
      </c>
      <c r="J77" s="5">
        <f t="shared" si="175"/>
        <v>2294</v>
      </c>
      <c r="K77" s="9"/>
      <c r="L77" s="9">
        <v>1147</v>
      </c>
      <c r="M77" s="9">
        <f t="shared" si="176"/>
        <v>1147</v>
      </c>
      <c r="N77" s="9">
        <v>0</v>
      </c>
      <c r="O77" s="72">
        <f t="shared" si="177"/>
        <v>1147</v>
      </c>
      <c r="P77" s="74">
        <f t="shared" si="178"/>
        <v>114.7</v>
      </c>
      <c r="Q77" s="9"/>
      <c r="R77" s="27"/>
      <c r="S77" s="27">
        <f t="shared" si="181"/>
        <v>72.26100000000001</v>
      </c>
      <c r="T77" s="27">
        <f t="shared" si="182"/>
        <v>96.003900000000002</v>
      </c>
      <c r="U77" s="29">
        <f t="shared" si="183"/>
        <v>960.03899999999999</v>
      </c>
      <c r="V77" s="27">
        <f t="shared" si="184"/>
        <v>960.03899999999999</v>
      </c>
      <c r="W77" s="28"/>
      <c r="X77" s="13">
        <f t="shared" si="198"/>
        <v>3.0000000000000068E-2</v>
      </c>
      <c r="Y77" s="17">
        <f t="shared" si="186"/>
        <v>0.91999999999999993</v>
      </c>
      <c r="Z77" s="5">
        <f t="shared" si="187"/>
        <v>883.23587999999995</v>
      </c>
      <c r="AA77" s="17">
        <v>0.05</v>
      </c>
      <c r="AB77" s="5">
        <f t="shared" si="188"/>
        <v>48.001950000000001</v>
      </c>
      <c r="AC77" s="67"/>
      <c r="AD77" s="5"/>
      <c r="AE77" s="67"/>
      <c r="AF77" s="4">
        <f t="shared" si="189"/>
        <v>0</v>
      </c>
      <c r="AG77" s="67"/>
      <c r="AH77" s="44">
        <f t="shared" si="190"/>
        <v>0</v>
      </c>
      <c r="AI77" s="17"/>
      <c r="AJ77" s="44">
        <f t="shared" si="191"/>
        <v>0</v>
      </c>
      <c r="AK77" s="67"/>
      <c r="AL77" s="44">
        <f t="shared" si="192"/>
        <v>0</v>
      </c>
      <c r="AM77" s="67"/>
      <c r="AN77" s="4">
        <f t="shared" si="193"/>
        <v>0</v>
      </c>
      <c r="AO77" s="67"/>
      <c r="AP77" s="4">
        <f t="shared" si="194"/>
        <v>0</v>
      </c>
      <c r="AQ77" s="17"/>
      <c r="AR77" s="4">
        <f t="shared" si="195"/>
        <v>0</v>
      </c>
      <c r="AS77" s="67"/>
      <c r="AT77" s="4">
        <f t="shared" si="196"/>
        <v>0</v>
      </c>
      <c r="AU77" s="73">
        <f t="shared" si="197"/>
        <v>28.801170000000067</v>
      </c>
    </row>
    <row r="78" spans="1:47" s="8" customFormat="1" x14ac:dyDescent="0.25">
      <c r="A78" s="21"/>
      <c r="B78" s="9">
        <f t="shared" si="199"/>
        <v>0</v>
      </c>
      <c r="C78" s="9"/>
      <c r="D78" s="9">
        <f t="shared" si="174"/>
        <v>0</v>
      </c>
      <c r="E78" s="10"/>
      <c r="F78" s="54" t="s">
        <v>30</v>
      </c>
      <c r="G78" s="27" t="s">
        <v>46</v>
      </c>
      <c r="H78" s="54" t="s">
        <v>63</v>
      </c>
      <c r="I78" s="9" t="s">
        <v>9</v>
      </c>
      <c r="J78" s="5">
        <f t="shared" si="175"/>
        <v>2294</v>
      </c>
      <c r="K78" s="9"/>
      <c r="L78" s="9">
        <v>1147</v>
      </c>
      <c r="M78" s="9">
        <f t="shared" si="176"/>
        <v>1147</v>
      </c>
      <c r="N78" s="9"/>
      <c r="O78" s="72">
        <f t="shared" si="177"/>
        <v>1147</v>
      </c>
      <c r="P78" s="74">
        <f t="shared" ref="P78" si="200">(M78-N78)*15%</f>
        <v>172.04999999999998</v>
      </c>
      <c r="Q78" s="9"/>
      <c r="R78" s="27"/>
      <c r="S78" s="27">
        <f t="shared" si="181"/>
        <v>68.246500000000012</v>
      </c>
      <c r="T78" s="27"/>
      <c r="U78" s="29">
        <f t="shared" si="183"/>
        <v>906.70350000000008</v>
      </c>
      <c r="V78" s="27">
        <f t="shared" si="184"/>
        <v>906.70350000000008</v>
      </c>
      <c r="W78" s="28"/>
      <c r="X78" s="13">
        <f>100%-Y78-AA78-AC78-AE78-AG78-AI78-AK78-AM78-AO78-AQ78</f>
        <v>3.0000000000000068E-2</v>
      </c>
      <c r="Y78" s="17">
        <f t="shared" si="186"/>
        <v>0.91999999999999993</v>
      </c>
      <c r="Z78" s="5">
        <f t="shared" si="187"/>
        <v>834.16722000000004</v>
      </c>
      <c r="AA78" s="17">
        <v>0.05</v>
      </c>
      <c r="AB78" s="5">
        <f t="shared" si="188"/>
        <v>45.335175000000007</v>
      </c>
      <c r="AC78" s="67"/>
      <c r="AD78" s="5"/>
      <c r="AE78" s="67"/>
      <c r="AF78" s="4">
        <f t="shared" si="189"/>
        <v>0</v>
      </c>
      <c r="AG78" s="67"/>
      <c r="AH78" s="44">
        <f t="shared" si="190"/>
        <v>0</v>
      </c>
      <c r="AI78" s="17"/>
      <c r="AJ78" s="44">
        <f t="shared" si="191"/>
        <v>0</v>
      </c>
      <c r="AK78" s="67"/>
      <c r="AL78" s="44">
        <f t="shared" si="192"/>
        <v>0</v>
      </c>
      <c r="AM78" s="67"/>
      <c r="AN78" s="4">
        <f t="shared" si="193"/>
        <v>0</v>
      </c>
      <c r="AO78" s="67"/>
      <c r="AP78" s="4">
        <f t="shared" si="194"/>
        <v>0</v>
      </c>
      <c r="AQ78" s="17"/>
      <c r="AR78" s="4">
        <f t="shared" si="195"/>
        <v>0</v>
      </c>
      <c r="AS78" s="67"/>
      <c r="AT78" s="4">
        <f t="shared" si="196"/>
        <v>0</v>
      </c>
      <c r="AU78" s="73">
        <f t="shared" si="197"/>
        <v>27.201105000000066</v>
      </c>
    </row>
    <row r="79" spans="1:47" s="8" customFormat="1" x14ac:dyDescent="0.25">
      <c r="A79" s="21"/>
      <c r="B79" s="9"/>
      <c r="C79" s="9"/>
      <c r="D79" s="9"/>
      <c r="E79" s="10"/>
      <c r="F79" s="54" t="s">
        <v>30</v>
      </c>
      <c r="G79" s="27" t="s">
        <v>46</v>
      </c>
      <c r="H79" s="54" t="s">
        <v>64</v>
      </c>
      <c r="I79" s="9" t="s">
        <v>10</v>
      </c>
      <c r="J79" s="9">
        <f t="shared" si="175"/>
        <v>2294</v>
      </c>
      <c r="K79" s="5"/>
      <c r="L79" s="9">
        <v>1147</v>
      </c>
      <c r="M79" s="9">
        <f t="shared" si="176"/>
        <v>1147</v>
      </c>
      <c r="N79" s="5"/>
      <c r="O79" s="72">
        <f t="shared" si="177"/>
        <v>1147</v>
      </c>
      <c r="P79" s="74">
        <f t="shared" ref="P79:P81" si="201">(M79-N79)*5%</f>
        <v>57.35</v>
      </c>
      <c r="Q79" s="9"/>
      <c r="R79" s="27"/>
      <c r="S79" s="27">
        <f t="shared" ref="S79:S81" si="202">(O79-P79)*7%</f>
        <v>76.275500000000008</v>
      </c>
      <c r="T79" s="27"/>
      <c r="U79" s="29">
        <f t="shared" si="183"/>
        <v>1013.3745000000001</v>
      </c>
      <c r="V79" s="27">
        <f t="shared" si="184"/>
        <v>1013.3745000000001</v>
      </c>
      <c r="W79" s="28"/>
      <c r="X79" s="13">
        <f t="shared" ref="X79:X81" si="203">100%-Y79-AA79-AC79-AE79-AG79-AI79-AK79-AM79-AO79-AQ79</f>
        <v>9.9999999999999811E-3</v>
      </c>
      <c r="Y79" s="17">
        <f t="shared" ref="Y79:Y81" si="204">(99%-AA79-AC79-AE79-AG79-AI79-AK79-AM79-AO79-AQ79)</f>
        <v>0.78</v>
      </c>
      <c r="Z79" s="9">
        <f t="shared" si="187"/>
        <v>790.43211000000008</v>
      </c>
      <c r="AA79" s="17">
        <v>0.15</v>
      </c>
      <c r="AB79" s="5">
        <f t="shared" si="188"/>
        <v>152.00617500000001</v>
      </c>
      <c r="AC79" s="17">
        <v>0.06</v>
      </c>
      <c r="AD79" s="9">
        <f t="shared" ref="AD79:AD81" si="205">V79*AC79</f>
        <v>60.802470000000007</v>
      </c>
      <c r="AE79" s="67"/>
      <c r="AF79" s="4">
        <f t="shared" si="189"/>
        <v>0</v>
      </c>
      <c r="AG79" s="67"/>
      <c r="AH79" s="57">
        <f t="shared" si="190"/>
        <v>0</v>
      </c>
      <c r="AI79" s="17"/>
      <c r="AJ79" s="57">
        <f t="shared" si="191"/>
        <v>0</v>
      </c>
      <c r="AK79" s="67"/>
      <c r="AL79" s="57">
        <f t="shared" si="192"/>
        <v>0</v>
      </c>
      <c r="AM79" s="67"/>
      <c r="AN79" s="9">
        <f t="shared" si="193"/>
        <v>0</v>
      </c>
      <c r="AO79" s="67"/>
      <c r="AP79" s="10">
        <f t="shared" si="194"/>
        <v>0</v>
      </c>
      <c r="AQ79" s="17"/>
      <c r="AR79" s="10">
        <f t="shared" si="195"/>
        <v>0</v>
      </c>
      <c r="AS79" s="67"/>
      <c r="AT79" s="10">
        <f t="shared" si="196"/>
        <v>0</v>
      </c>
      <c r="AU79" s="73">
        <f t="shared" si="197"/>
        <v>10.133744999999982</v>
      </c>
    </row>
    <row r="80" spans="1:47" s="8" customFormat="1" x14ac:dyDescent="0.25">
      <c r="A80" s="21"/>
      <c r="B80" s="9">
        <f t="shared" si="199"/>
        <v>0</v>
      </c>
      <c r="C80" s="9"/>
      <c r="D80" s="9">
        <f t="shared" si="174"/>
        <v>0</v>
      </c>
      <c r="E80" s="10"/>
      <c r="F80" s="54" t="s">
        <v>30</v>
      </c>
      <c r="G80" s="27" t="s">
        <v>46</v>
      </c>
      <c r="H80" s="54" t="s">
        <v>65</v>
      </c>
      <c r="I80" s="9" t="s">
        <v>11</v>
      </c>
      <c r="J80" s="5">
        <f t="shared" si="175"/>
        <v>2294</v>
      </c>
      <c r="K80" s="9"/>
      <c r="L80" s="9">
        <v>1147</v>
      </c>
      <c r="M80" s="9"/>
      <c r="N80" s="9">
        <v>0</v>
      </c>
      <c r="O80" s="72">
        <f t="shared" si="177"/>
        <v>0</v>
      </c>
      <c r="P80" s="74">
        <f t="shared" si="201"/>
        <v>0</v>
      </c>
      <c r="Q80" s="9"/>
      <c r="R80" s="27"/>
      <c r="S80" s="27">
        <f t="shared" si="202"/>
        <v>0</v>
      </c>
      <c r="T80" s="27"/>
      <c r="U80" s="29">
        <f t="shared" si="183"/>
        <v>0</v>
      </c>
      <c r="V80" s="27">
        <f t="shared" si="184"/>
        <v>0</v>
      </c>
      <c r="W80" s="28"/>
      <c r="X80" s="13">
        <f t="shared" si="203"/>
        <v>9.9999999999999811E-3</v>
      </c>
      <c r="Y80" s="17">
        <f t="shared" si="204"/>
        <v>0.78</v>
      </c>
      <c r="Z80" s="9">
        <f t="shared" si="187"/>
        <v>0</v>
      </c>
      <c r="AA80" s="17">
        <v>0.15</v>
      </c>
      <c r="AB80" s="5">
        <f t="shared" si="188"/>
        <v>0</v>
      </c>
      <c r="AC80" s="17">
        <v>0.06</v>
      </c>
      <c r="AD80" s="9">
        <f t="shared" si="205"/>
        <v>0</v>
      </c>
      <c r="AE80" s="17"/>
      <c r="AF80" s="4">
        <f t="shared" si="189"/>
        <v>0</v>
      </c>
      <c r="AG80" s="17"/>
      <c r="AH80" s="44">
        <f t="shared" si="190"/>
        <v>0</v>
      </c>
      <c r="AI80" s="17"/>
      <c r="AJ80" s="44">
        <f t="shared" si="191"/>
        <v>0</v>
      </c>
      <c r="AK80" s="17"/>
      <c r="AL80" s="44">
        <f t="shared" si="192"/>
        <v>0</v>
      </c>
      <c r="AM80" s="17"/>
      <c r="AN80" s="5">
        <f t="shared" si="193"/>
        <v>0</v>
      </c>
      <c r="AO80" s="17"/>
      <c r="AP80" s="4">
        <f t="shared" si="194"/>
        <v>0</v>
      </c>
      <c r="AQ80" s="17"/>
      <c r="AR80" s="4">
        <f t="shared" si="195"/>
        <v>0</v>
      </c>
      <c r="AS80" s="17"/>
      <c r="AT80" s="4">
        <f t="shared" si="196"/>
        <v>0</v>
      </c>
      <c r="AU80" s="73">
        <f t="shared" si="197"/>
        <v>0</v>
      </c>
    </row>
    <row r="81" spans="1:47" s="8" customFormat="1" x14ac:dyDescent="0.25">
      <c r="A81" s="21"/>
      <c r="B81" s="9">
        <f t="shared" si="199"/>
        <v>0</v>
      </c>
      <c r="C81" s="9"/>
      <c r="D81" s="9">
        <f t="shared" si="174"/>
        <v>0</v>
      </c>
      <c r="E81" s="10"/>
      <c r="F81" s="54" t="s">
        <v>30</v>
      </c>
      <c r="G81" s="27" t="s">
        <v>46</v>
      </c>
      <c r="H81" s="54" t="s">
        <v>66</v>
      </c>
      <c r="I81" s="9" t="s">
        <v>12</v>
      </c>
      <c r="J81" s="5">
        <f t="shared" si="175"/>
        <v>2294</v>
      </c>
      <c r="K81" s="9"/>
      <c r="L81" s="9">
        <v>1147</v>
      </c>
      <c r="M81" s="9"/>
      <c r="N81" s="9">
        <v>0</v>
      </c>
      <c r="O81" s="72">
        <f t="shared" si="177"/>
        <v>0</v>
      </c>
      <c r="P81" s="74">
        <f t="shared" si="201"/>
        <v>0</v>
      </c>
      <c r="Q81" s="9"/>
      <c r="R81" s="27"/>
      <c r="S81" s="27">
        <f t="shared" si="202"/>
        <v>0</v>
      </c>
      <c r="T81" s="27"/>
      <c r="U81" s="29">
        <f t="shared" si="183"/>
        <v>0</v>
      </c>
      <c r="V81" s="27">
        <f t="shared" si="184"/>
        <v>0</v>
      </c>
      <c r="W81" s="28"/>
      <c r="X81" s="13">
        <f t="shared" si="203"/>
        <v>9.9999999999999811E-3</v>
      </c>
      <c r="Y81" s="17">
        <f t="shared" si="204"/>
        <v>0.78</v>
      </c>
      <c r="Z81" s="9">
        <f t="shared" si="187"/>
        <v>0</v>
      </c>
      <c r="AA81" s="17">
        <v>0.15</v>
      </c>
      <c r="AB81" s="5">
        <f t="shared" si="188"/>
        <v>0</v>
      </c>
      <c r="AC81" s="17">
        <v>0.06</v>
      </c>
      <c r="AD81" s="9">
        <f t="shared" si="205"/>
        <v>0</v>
      </c>
      <c r="AE81" s="17"/>
      <c r="AF81" s="4">
        <f t="shared" si="189"/>
        <v>0</v>
      </c>
      <c r="AG81" s="17"/>
      <c r="AH81" s="44">
        <f t="shared" si="190"/>
        <v>0</v>
      </c>
      <c r="AI81" s="17"/>
      <c r="AJ81" s="44">
        <f t="shared" si="191"/>
        <v>0</v>
      </c>
      <c r="AK81" s="17"/>
      <c r="AL81" s="44">
        <f t="shared" si="192"/>
        <v>0</v>
      </c>
      <c r="AM81" s="17"/>
      <c r="AN81" s="5">
        <f t="shared" si="193"/>
        <v>0</v>
      </c>
      <c r="AO81" s="17"/>
      <c r="AP81" s="4">
        <f t="shared" si="194"/>
        <v>0</v>
      </c>
      <c r="AQ81" s="17"/>
      <c r="AR81" s="4">
        <f t="shared" si="195"/>
        <v>0</v>
      </c>
      <c r="AS81" s="17"/>
      <c r="AT81" s="4">
        <f t="shared" si="196"/>
        <v>0</v>
      </c>
      <c r="AU81" s="73">
        <f t="shared" si="197"/>
        <v>0</v>
      </c>
    </row>
    <row r="82" spans="1:47" x14ac:dyDescent="0.25">
      <c r="A82" s="21"/>
      <c r="C82" s="9"/>
      <c r="D82" s="10"/>
      <c r="E82" s="10"/>
      <c r="F82" s="8"/>
      <c r="G82" s="8"/>
      <c r="H82" s="8"/>
      <c r="I82" s="9"/>
      <c r="J82" s="9"/>
      <c r="K82" s="9"/>
      <c r="L82" s="9"/>
      <c r="M82" s="9"/>
      <c r="N82" s="9"/>
      <c r="O82" s="9"/>
      <c r="P82" s="9"/>
      <c r="Q82" s="9"/>
      <c r="Z82" s="5"/>
      <c r="AB82" s="5"/>
      <c r="AD82" s="5"/>
      <c r="AH82" s="44"/>
      <c r="AJ82" s="44"/>
      <c r="AL82" s="44"/>
      <c r="AN82" s="5"/>
      <c r="AP82" s="5"/>
      <c r="AR82" s="5"/>
      <c r="AT82" s="5"/>
    </row>
    <row r="83" spans="1:47" s="8" customFormat="1" x14ac:dyDescent="0.25">
      <c r="A83" s="21" t="s">
        <v>27</v>
      </c>
      <c r="B83" s="9">
        <f>IF(A83="",0,((U83)*10%))</f>
        <v>18.4512</v>
      </c>
      <c r="C83" s="9"/>
      <c r="D83" s="9">
        <f t="shared" ref="D83:D94" si="206">IF(C83="",0,((U83)*5%))</f>
        <v>0</v>
      </c>
      <c r="E83" s="10"/>
      <c r="F83" s="54" t="s">
        <v>67</v>
      </c>
      <c r="G83" s="27" t="s">
        <v>46</v>
      </c>
      <c r="H83" s="54" t="s">
        <v>55</v>
      </c>
      <c r="I83" s="5" t="s">
        <v>3</v>
      </c>
      <c r="J83" s="5">
        <f t="shared" ref="J83:J94" si="207">L83*2</f>
        <v>620</v>
      </c>
      <c r="K83" s="5"/>
      <c r="L83" s="9">
        <v>310</v>
      </c>
      <c r="M83" s="9">
        <f t="shared" si="176"/>
        <v>310</v>
      </c>
      <c r="N83" s="9"/>
      <c r="O83" s="72">
        <f t="shared" ref="O83:O94" si="208">M83-N83</f>
        <v>310</v>
      </c>
      <c r="P83" s="74">
        <f t="shared" ref="P83:P90" si="209">(M83-N83)*10%</f>
        <v>31</v>
      </c>
      <c r="Q83" s="9">
        <f t="shared" ref="Q83:Q88" si="210">(M83-N83)*10%</f>
        <v>31</v>
      </c>
      <c r="R83" s="27">
        <f t="shared" ref="R83:R89" si="211">(M83-N83-P83-Q83)*20%</f>
        <v>49.6</v>
      </c>
      <c r="S83" s="27">
        <f t="shared" ref="S83:S91" si="212">(O83-P83-Q83-R83)*7%</f>
        <v>13.888000000000002</v>
      </c>
      <c r="T83" s="27"/>
      <c r="U83" s="29">
        <f t="shared" ref="U83:U94" si="213">M83-N83-P83-Q83-R83-S83</f>
        <v>184.512</v>
      </c>
      <c r="V83" s="27">
        <f t="shared" ref="V83:V94" si="214">U83-B83-D83</f>
        <v>166.0608</v>
      </c>
      <c r="W83" s="28"/>
      <c r="X83" s="13">
        <f t="shared" ref="X83:X86" si="215">100%-Y83-AA83-AC83-AE83-AG83-AI83-AK83-AM83-AO83-AQ83</f>
        <v>3.0000000000000027E-2</v>
      </c>
      <c r="Y83" s="17">
        <f t="shared" ref="Y83:Y91" si="216">(97%-AA83-AC83-AE83-AG83-AI83-AK83-AM83-AO83-AQ83)</f>
        <v>0.97</v>
      </c>
      <c r="Z83" s="5">
        <f t="shared" ref="Z83:Z94" si="217">(V83*Y83)+Q83+R83</f>
        <v>241.67897599999998</v>
      </c>
      <c r="AA83" s="17"/>
      <c r="AB83" s="5">
        <f t="shared" ref="AB83:AB94" si="218">(V83*AA83)</f>
        <v>0</v>
      </c>
      <c r="AC83" s="67"/>
      <c r="AD83" s="5"/>
      <c r="AE83" s="67"/>
      <c r="AF83" s="4">
        <f t="shared" ref="AF83:AF94" si="219">V83*AE83</f>
        <v>0</v>
      </c>
      <c r="AG83" s="67"/>
      <c r="AH83" s="44">
        <f t="shared" ref="AH83:AH94" si="220">V83*AG83</f>
        <v>0</v>
      </c>
      <c r="AI83" s="17"/>
      <c r="AJ83" s="44">
        <f t="shared" ref="AJ83:AJ94" si="221">V83*AI83</f>
        <v>0</v>
      </c>
      <c r="AK83" s="67"/>
      <c r="AL83" s="44">
        <f t="shared" ref="AL83:AL94" si="222">V83*AK83</f>
        <v>0</v>
      </c>
      <c r="AM83" s="67"/>
      <c r="AN83" s="4">
        <f t="shared" ref="AN83:AN94" si="223">V83*AM83</f>
        <v>0</v>
      </c>
      <c r="AO83" s="67"/>
      <c r="AP83" s="4">
        <f t="shared" ref="AP83:AP94" si="224">V83*AO83</f>
        <v>0</v>
      </c>
      <c r="AQ83" s="17"/>
      <c r="AR83" s="4">
        <f t="shared" ref="AR83:AR94" si="225">V83*AQ83</f>
        <v>0</v>
      </c>
      <c r="AS83" s="67"/>
      <c r="AT83" s="4">
        <f t="shared" ref="AT83:AT94" si="226">X83*AS83</f>
        <v>0</v>
      </c>
      <c r="AU83" s="73">
        <f t="shared" ref="AU83:AU94" si="227">V83*X83</f>
        <v>4.981824000000004</v>
      </c>
    </row>
    <row r="84" spans="1:47" s="8" customFormat="1" x14ac:dyDescent="0.25">
      <c r="A84" s="21" t="s">
        <v>27</v>
      </c>
      <c r="B84" s="9">
        <f>IF(A84="",0,((U84)*10%))</f>
        <v>18.4512</v>
      </c>
      <c r="C84" s="9"/>
      <c r="D84" s="9">
        <f t="shared" si="206"/>
        <v>0</v>
      </c>
      <c r="E84" s="10"/>
      <c r="F84" s="54" t="s">
        <v>67</v>
      </c>
      <c r="G84" s="27" t="s">
        <v>46</v>
      </c>
      <c r="H84" s="54" t="s">
        <v>56</v>
      </c>
      <c r="I84" s="9" t="s">
        <v>4</v>
      </c>
      <c r="J84" s="5">
        <f t="shared" si="207"/>
        <v>620</v>
      </c>
      <c r="K84" s="9"/>
      <c r="L84" s="9">
        <v>310</v>
      </c>
      <c r="M84" s="9">
        <f t="shared" si="176"/>
        <v>310</v>
      </c>
      <c r="N84" s="9"/>
      <c r="O84" s="72">
        <f t="shared" si="208"/>
        <v>310</v>
      </c>
      <c r="P84" s="74">
        <f t="shared" si="209"/>
        <v>31</v>
      </c>
      <c r="Q84" s="9">
        <f t="shared" si="210"/>
        <v>31</v>
      </c>
      <c r="R84" s="27">
        <f t="shared" si="211"/>
        <v>49.6</v>
      </c>
      <c r="S84" s="27">
        <f t="shared" si="212"/>
        <v>13.888000000000002</v>
      </c>
      <c r="T84" s="27"/>
      <c r="U84" s="29">
        <f t="shared" si="213"/>
        <v>184.512</v>
      </c>
      <c r="V84" s="27">
        <f t="shared" si="214"/>
        <v>166.0608</v>
      </c>
      <c r="W84" s="28"/>
      <c r="X84" s="13">
        <f t="shared" si="215"/>
        <v>3.0000000000000027E-2</v>
      </c>
      <c r="Y84" s="17">
        <f t="shared" si="216"/>
        <v>0.97</v>
      </c>
      <c r="Z84" s="5">
        <f t="shared" si="217"/>
        <v>241.67897599999998</v>
      </c>
      <c r="AA84" s="17"/>
      <c r="AB84" s="5">
        <f t="shared" si="218"/>
        <v>0</v>
      </c>
      <c r="AC84" s="67"/>
      <c r="AD84" s="5"/>
      <c r="AE84" s="67"/>
      <c r="AF84" s="4">
        <f t="shared" si="219"/>
        <v>0</v>
      </c>
      <c r="AG84" s="67"/>
      <c r="AH84" s="44">
        <f t="shared" si="220"/>
        <v>0</v>
      </c>
      <c r="AI84" s="17"/>
      <c r="AJ84" s="44">
        <f t="shared" si="221"/>
        <v>0</v>
      </c>
      <c r="AK84" s="67"/>
      <c r="AL84" s="44">
        <f t="shared" si="222"/>
        <v>0</v>
      </c>
      <c r="AM84" s="67"/>
      <c r="AN84" s="4">
        <f t="shared" si="223"/>
        <v>0</v>
      </c>
      <c r="AO84" s="67"/>
      <c r="AP84" s="4">
        <f t="shared" si="224"/>
        <v>0</v>
      </c>
      <c r="AQ84" s="17"/>
      <c r="AR84" s="4">
        <f t="shared" si="225"/>
        <v>0</v>
      </c>
      <c r="AS84" s="67"/>
      <c r="AT84" s="4">
        <f t="shared" si="226"/>
        <v>0</v>
      </c>
      <c r="AU84" s="73">
        <f t="shared" si="227"/>
        <v>4.981824000000004</v>
      </c>
    </row>
    <row r="85" spans="1:47" s="8" customFormat="1" x14ac:dyDescent="0.25">
      <c r="A85" s="21" t="s">
        <v>27</v>
      </c>
      <c r="B85" s="9">
        <f>IF(A85="",0,((U85)*10%))</f>
        <v>18.4512</v>
      </c>
      <c r="C85" s="9"/>
      <c r="D85" s="9">
        <f t="shared" si="206"/>
        <v>0</v>
      </c>
      <c r="E85" s="10"/>
      <c r="F85" s="54" t="s">
        <v>67</v>
      </c>
      <c r="G85" s="27" t="s">
        <v>46</v>
      </c>
      <c r="H85" s="54" t="s">
        <v>57</v>
      </c>
      <c r="I85" s="9" t="s">
        <v>5</v>
      </c>
      <c r="J85" s="5">
        <f t="shared" si="207"/>
        <v>620</v>
      </c>
      <c r="K85" s="9"/>
      <c r="L85" s="9">
        <v>310</v>
      </c>
      <c r="M85" s="9">
        <f t="shared" si="176"/>
        <v>310</v>
      </c>
      <c r="N85" s="9"/>
      <c r="O85" s="72">
        <f t="shared" si="208"/>
        <v>310</v>
      </c>
      <c r="P85" s="74">
        <f t="shared" si="209"/>
        <v>31</v>
      </c>
      <c r="Q85" s="9">
        <f t="shared" si="210"/>
        <v>31</v>
      </c>
      <c r="R85" s="27">
        <f t="shared" si="211"/>
        <v>49.6</v>
      </c>
      <c r="S85" s="27">
        <f t="shared" si="212"/>
        <v>13.888000000000002</v>
      </c>
      <c r="T85" s="27"/>
      <c r="U85" s="29">
        <f t="shared" si="213"/>
        <v>184.512</v>
      </c>
      <c r="V85" s="27">
        <f t="shared" si="214"/>
        <v>166.0608</v>
      </c>
      <c r="W85" s="28"/>
      <c r="X85" s="13">
        <f t="shared" si="215"/>
        <v>3.0000000000000027E-2</v>
      </c>
      <c r="Y85" s="17">
        <f t="shared" si="216"/>
        <v>0.97</v>
      </c>
      <c r="Z85" s="5">
        <f t="shared" si="217"/>
        <v>241.67897599999998</v>
      </c>
      <c r="AA85" s="17"/>
      <c r="AB85" s="5">
        <f t="shared" si="218"/>
        <v>0</v>
      </c>
      <c r="AC85" s="67"/>
      <c r="AD85" s="5"/>
      <c r="AE85" s="67"/>
      <c r="AF85" s="4">
        <f t="shared" si="219"/>
        <v>0</v>
      </c>
      <c r="AG85" s="67"/>
      <c r="AH85" s="44">
        <f t="shared" si="220"/>
        <v>0</v>
      </c>
      <c r="AI85" s="17"/>
      <c r="AJ85" s="44">
        <f t="shared" si="221"/>
        <v>0</v>
      </c>
      <c r="AK85" s="67"/>
      <c r="AL85" s="44">
        <f t="shared" si="222"/>
        <v>0</v>
      </c>
      <c r="AM85" s="67"/>
      <c r="AN85" s="4">
        <f t="shared" si="223"/>
        <v>0</v>
      </c>
      <c r="AO85" s="67"/>
      <c r="AP85" s="4">
        <f t="shared" si="224"/>
        <v>0</v>
      </c>
      <c r="AQ85" s="17"/>
      <c r="AR85" s="4">
        <f t="shared" si="225"/>
        <v>0</v>
      </c>
      <c r="AS85" s="67"/>
      <c r="AT85" s="4">
        <f t="shared" si="226"/>
        <v>0</v>
      </c>
      <c r="AU85" s="73">
        <f t="shared" si="227"/>
        <v>4.981824000000004</v>
      </c>
    </row>
    <row r="86" spans="1:47" s="8" customFormat="1" x14ac:dyDescent="0.25">
      <c r="A86" s="21" t="s">
        <v>27</v>
      </c>
      <c r="B86" s="9">
        <f>IF(A86="",0,((U86)*10%))</f>
        <v>18.4512</v>
      </c>
      <c r="C86" s="9"/>
      <c r="D86" s="9">
        <f t="shared" si="206"/>
        <v>0</v>
      </c>
      <c r="E86" s="10"/>
      <c r="F86" s="54" t="s">
        <v>67</v>
      </c>
      <c r="G86" s="27" t="s">
        <v>46</v>
      </c>
      <c r="H86" s="54" t="s">
        <v>58</v>
      </c>
      <c r="I86" s="9" t="s">
        <v>1</v>
      </c>
      <c r="J86" s="5">
        <f t="shared" si="207"/>
        <v>620</v>
      </c>
      <c r="K86" s="9"/>
      <c r="L86" s="9">
        <v>310</v>
      </c>
      <c r="M86" s="9">
        <f t="shared" si="176"/>
        <v>310</v>
      </c>
      <c r="N86" s="9"/>
      <c r="O86" s="72">
        <f t="shared" si="208"/>
        <v>310</v>
      </c>
      <c r="P86" s="74">
        <f t="shared" si="209"/>
        <v>31</v>
      </c>
      <c r="Q86" s="9">
        <f t="shared" si="210"/>
        <v>31</v>
      </c>
      <c r="R86" s="27">
        <f t="shared" si="211"/>
        <v>49.6</v>
      </c>
      <c r="S86" s="27">
        <f t="shared" si="212"/>
        <v>13.888000000000002</v>
      </c>
      <c r="T86" s="27"/>
      <c r="U86" s="29">
        <f t="shared" si="213"/>
        <v>184.512</v>
      </c>
      <c r="V86" s="27">
        <f t="shared" si="214"/>
        <v>166.0608</v>
      </c>
      <c r="W86" s="28"/>
      <c r="X86" s="13">
        <f t="shared" si="215"/>
        <v>3.0000000000000027E-2</v>
      </c>
      <c r="Y86" s="17">
        <f t="shared" si="216"/>
        <v>0.97</v>
      </c>
      <c r="Z86" s="5">
        <f t="shared" si="217"/>
        <v>241.67897599999998</v>
      </c>
      <c r="AA86" s="17"/>
      <c r="AB86" s="5">
        <f t="shared" si="218"/>
        <v>0</v>
      </c>
      <c r="AC86" s="67"/>
      <c r="AD86" s="5"/>
      <c r="AE86" s="67"/>
      <c r="AF86" s="4">
        <f t="shared" si="219"/>
        <v>0</v>
      </c>
      <c r="AG86" s="67"/>
      <c r="AH86" s="44">
        <f t="shared" si="220"/>
        <v>0</v>
      </c>
      <c r="AI86" s="17"/>
      <c r="AJ86" s="44">
        <f t="shared" si="221"/>
        <v>0</v>
      </c>
      <c r="AK86" s="67"/>
      <c r="AL86" s="44">
        <f t="shared" si="222"/>
        <v>0</v>
      </c>
      <c r="AM86" s="67"/>
      <c r="AN86" s="4">
        <f t="shared" si="223"/>
        <v>0</v>
      </c>
      <c r="AO86" s="67"/>
      <c r="AP86" s="4">
        <f t="shared" si="224"/>
        <v>0</v>
      </c>
      <c r="AQ86" s="17"/>
      <c r="AR86" s="4">
        <f t="shared" si="225"/>
        <v>0</v>
      </c>
      <c r="AS86" s="67"/>
      <c r="AT86" s="4">
        <f t="shared" si="226"/>
        <v>0</v>
      </c>
      <c r="AU86" s="73">
        <f t="shared" si="227"/>
        <v>4.981824000000004</v>
      </c>
    </row>
    <row r="87" spans="1:47" s="8" customFormat="1" x14ac:dyDescent="0.25">
      <c r="A87" s="21" t="s">
        <v>27</v>
      </c>
      <c r="B87" s="9">
        <f>IF(A87="",0,((U87)*10%))</f>
        <v>18.4512</v>
      </c>
      <c r="C87" s="9"/>
      <c r="D87" s="9">
        <f t="shared" si="206"/>
        <v>0</v>
      </c>
      <c r="E87" s="10"/>
      <c r="F87" s="54" t="s">
        <v>67</v>
      </c>
      <c r="G87" s="27" t="s">
        <v>46</v>
      </c>
      <c r="H87" s="54" t="s">
        <v>59</v>
      </c>
      <c r="I87" s="9" t="s">
        <v>2</v>
      </c>
      <c r="J87" s="5">
        <f t="shared" si="207"/>
        <v>620</v>
      </c>
      <c r="K87" s="9"/>
      <c r="L87" s="9">
        <v>310</v>
      </c>
      <c r="M87" s="9">
        <f t="shared" si="176"/>
        <v>310</v>
      </c>
      <c r="N87" s="9"/>
      <c r="O87" s="72">
        <f t="shared" si="208"/>
        <v>310</v>
      </c>
      <c r="P87" s="74">
        <f t="shared" si="209"/>
        <v>31</v>
      </c>
      <c r="Q87" s="9">
        <f t="shared" si="210"/>
        <v>31</v>
      </c>
      <c r="R87" s="27">
        <f t="shared" si="211"/>
        <v>49.6</v>
      </c>
      <c r="S87" s="27">
        <f t="shared" si="212"/>
        <v>13.888000000000002</v>
      </c>
      <c r="T87" s="27"/>
      <c r="U87" s="29">
        <f t="shared" si="213"/>
        <v>184.512</v>
      </c>
      <c r="V87" s="27">
        <f t="shared" si="214"/>
        <v>166.0608</v>
      </c>
      <c r="W87" s="28"/>
      <c r="X87" s="13">
        <f>100%-Y87-AA87-AC87-AE87-AG87-AI87-AK87-AM87-AO87-AQ87</f>
        <v>3.0000000000000027E-2</v>
      </c>
      <c r="Y87" s="17">
        <f t="shared" si="216"/>
        <v>0.97</v>
      </c>
      <c r="Z87" s="5">
        <f t="shared" si="217"/>
        <v>241.67897599999998</v>
      </c>
      <c r="AA87" s="17"/>
      <c r="AB87" s="5">
        <f t="shared" si="218"/>
        <v>0</v>
      </c>
      <c r="AC87" s="67"/>
      <c r="AD87" s="5"/>
      <c r="AE87" s="67"/>
      <c r="AF87" s="4">
        <f t="shared" si="219"/>
        <v>0</v>
      </c>
      <c r="AG87" s="67"/>
      <c r="AH87" s="44">
        <f t="shared" si="220"/>
        <v>0</v>
      </c>
      <c r="AI87" s="17"/>
      <c r="AJ87" s="44">
        <f t="shared" si="221"/>
        <v>0</v>
      </c>
      <c r="AK87" s="67"/>
      <c r="AL87" s="44">
        <f t="shared" si="222"/>
        <v>0</v>
      </c>
      <c r="AM87" s="67"/>
      <c r="AN87" s="4">
        <f t="shared" si="223"/>
        <v>0</v>
      </c>
      <c r="AO87" s="67"/>
      <c r="AP87" s="4">
        <f t="shared" si="224"/>
        <v>0</v>
      </c>
      <c r="AQ87" s="17"/>
      <c r="AR87" s="4">
        <f t="shared" si="225"/>
        <v>0</v>
      </c>
      <c r="AS87" s="67"/>
      <c r="AT87" s="4">
        <f t="shared" si="226"/>
        <v>0</v>
      </c>
      <c r="AU87" s="73">
        <f t="shared" si="227"/>
        <v>4.981824000000004</v>
      </c>
    </row>
    <row r="88" spans="1:47" s="8" customFormat="1" x14ac:dyDescent="0.25">
      <c r="A88" s="21"/>
      <c r="B88" s="9">
        <f t="shared" ref="B88:B94" si="228">IF(A88="",0,((U88)*10%))</f>
        <v>0</v>
      </c>
      <c r="C88" s="9"/>
      <c r="D88" s="9">
        <f t="shared" si="206"/>
        <v>0</v>
      </c>
      <c r="E88" s="10"/>
      <c r="F88" s="54" t="s">
        <v>67</v>
      </c>
      <c r="G88" s="27" t="s">
        <v>46</v>
      </c>
      <c r="H88" s="54" t="s">
        <v>60</v>
      </c>
      <c r="I88" s="9" t="s">
        <v>6</v>
      </c>
      <c r="J88" s="5">
        <f t="shared" si="207"/>
        <v>620</v>
      </c>
      <c r="K88" s="9"/>
      <c r="L88" s="9">
        <v>310</v>
      </c>
      <c r="M88" s="9">
        <f t="shared" si="176"/>
        <v>310</v>
      </c>
      <c r="N88" s="9">
        <v>0</v>
      </c>
      <c r="O88" s="72">
        <f t="shared" si="208"/>
        <v>310</v>
      </c>
      <c r="P88" s="74">
        <f t="shared" si="209"/>
        <v>31</v>
      </c>
      <c r="Q88" s="9">
        <f t="shared" si="210"/>
        <v>31</v>
      </c>
      <c r="R88" s="27">
        <f t="shared" si="211"/>
        <v>49.6</v>
      </c>
      <c r="S88" s="27">
        <f t="shared" si="212"/>
        <v>13.888000000000002</v>
      </c>
      <c r="T88" s="27"/>
      <c r="U88" s="29">
        <f t="shared" si="213"/>
        <v>184.512</v>
      </c>
      <c r="V88" s="27">
        <f t="shared" si="214"/>
        <v>184.512</v>
      </c>
      <c r="W88" s="28"/>
      <c r="X88" s="13">
        <f t="shared" ref="X88:X90" si="229">100%-Y88-AA88-AC88-AE88-AG88-AI88-AK88-AM88-AO88-AQ88</f>
        <v>3.0000000000000027E-2</v>
      </c>
      <c r="Y88" s="17">
        <f t="shared" si="216"/>
        <v>0.97</v>
      </c>
      <c r="Z88" s="5">
        <f t="shared" si="217"/>
        <v>259.57664</v>
      </c>
      <c r="AA88" s="17"/>
      <c r="AB88" s="5">
        <f t="shared" si="218"/>
        <v>0</v>
      </c>
      <c r="AC88" s="67"/>
      <c r="AD88" s="5"/>
      <c r="AE88" s="67"/>
      <c r="AF88" s="4">
        <f t="shared" si="219"/>
        <v>0</v>
      </c>
      <c r="AG88" s="67"/>
      <c r="AH88" s="44">
        <f t="shared" si="220"/>
        <v>0</v>
      </c>
      <c r="AI88" s="17"/>
      <c r="AJ88" s="44">
        <f t="shared" si="221"/>
        <v>0</v>
      </c>
      <c r="AK88" s="67"/>
      <c r="AL88" s="44">
        <f t="shared" si="222"/>
        <v>0</v>
      </c>
      <c r="AM88" s="67"/>
      <c r="AN88" s="4">
        <f t="shared" si="223"/>
        <v>0</v>
      </c>
      <c r="AO88" s="67"/>
      <c r="AP88" s="4">
        <f t="shared" si="224"/>
        <v>0</v>
      </c>
      <c r="AQ88" s="17"/>
      <c r="AR88" s="4">
        <f t="shared" si="225"/>
        <v>0</v>
      </c>
      <c r="AS88" s="67"/>
      <c r="AT88" s="4">
        <f t="shared" si="226"/>
        <v>0</v>
      </c>
      <c r="AU88" s="73">
        <f t="shared" si="227"/>
        <v>5.5353600000000052</v>
      </c>
    </row>
    <row r="89" spans="1:47" s="8" customFormat="1" x14ac:dyDescent="0.25">
      <c r="A89" s="21"/>
      <c r="B89" s="9">
        <f t="shared" si="228"/>
        <v>0</v>
      </c>
      <c r="C89" s="9"/>
      <c r="D89" s="9">
        <f t="shared" si="206"/>
        <v>0</v>
      </c>
      <c r="E89" s="10"/>
      <c r="F89" s="54" t="s">
        <v>67</v>
      </c>
      <c r="G89" s="27" t="s">
        <v>46</v>
      </c>
      <c r="H89" s="54" t="s">
        <v>61</v>
      </c>
      <c r="I89" s="9" t="s">
        <v>7</v>
      </c>
      <c r="J89" s="5">
        <f t="shared" si="207"/>
        <v>620</v>
      </c>
      <c r="K89" s="9"/>
      <c r="L89" s="9">
        <v>310</v>
      </c>
      <c r="M89" s="9">
        <f t="shared" si="176"/>
        <v>310</v>
      </c>
      <c r="N89" s="9">
        <v>0</v>
      </c>
      <c r="O89" s="72">
        <f t="shared" si="208"/>
        <v>310</v>
      </c>
      <c r="P89" s="74">
        <f t="shared" si="209"/>
        <v>31</v>
      </c>
      <c r="Q89" s="9"/>
      <c r="R89" s="27">
        <f t="shared" si="211"/>
        <v>55.800000000000004</v>
      </c>
      <c r="S89" s="27">
        <f t="shared" si="212"/>
        <v>15.624000000000001</v>
      </c>
      <c r="T89" s="27"/>
      <c r="U89" s="29">
        <f t="shared" si="213"/>
        <v>207.57599999999999</v>
      </c>
      <c r="V89" s="27">
        <f t="shared" si="214"/>
        <v>207.57599999999999</v>
      </c>
      <c r="W89" s="28"/>
      <c r="X89" s="13">
        <f t="shared" si="229"/>
        <v>3.0000000000000027E-2</v>
      </c>
      <c r="Y89" s="17">
        <f t="shared" si="216"/>
        <v>0.97</v>
      </c>
      <c r="Z89" s="5">
        <f t="shared" si="217"/>
        <v>257.14871999999997</v>
      </c>
      <c r="AA89" s="17"/>
      <c r="AB89" s="5">
        <f t="shared" si="218"/>
        <v>0</v>
      </c>
      <c r="AC89" s="67"/>
      <c r="AD89" s="5"/>
      <c r="AE89" s="67"/>
      <c r="AF89" s="4">
        <f t="shared" si="219"/>
        <v>0</v>
      </c>
      <c r="AG89" s="67"/>
      <c r="AH89" s="44">
        <f t="shared" si="220"/>
        <v>0</v>
      </c>
      <c r="AI89" s="17"/>
      <c r="AJ89" s="44">
        <f t="shared" si="221"/>
        <v>0</v>
      </c>
      <c r="AK89" s="67"/>
      <c r="AL89" s="44">
        <f t="shared" si="222"/>
        <v>0</v>
      </c>
      <c r="AM89" s="67"/>
      <c r="AN89" s="4">
        <f t="shared" si="223"/>
        <v>0</v>
      </c>
      <c r="AO89" s="67"/>
      <c r="AP89" s="4">
        <f t="shared" si="224"/>
        <v>0</v>
      </c>
      <c r="AQ89" s="17"/>
      <c r="AR89" s="4">
        <f t="shared" si="225"/>
        <v>0</v>
      </c>
      <c r="AS89" s="67"/>
      <c r="AT89" s="4">
        <f t="shared" si="226"/>
        <v>0</v>
      </c>
      <c r="AU89" s="73">
        <f t="shared" si="227"/>
        <v>6.2272800000000057</v>
      </c>
    </row>
    <row r="90" spans="1:47" s="8" customFormat="1" x14ac:dyDescent="0.25">
      <c r="A90" s="21"/>
      <c r="B90" s="9">
        <f t="shared" si="228"/>
        <v>0</v>
      </c>
      <c r="C90" s="9"/>
      <c r="D90" s="9">
        <f t="shared" si="206"/>
        <v>0</v>
      </c>
      <c r="E90" s="10"/>
      <c r="F90" s="54" t="s">
        <v>67</v>
      </c>
      <c r="G90" s="27" t="s">
        <v>46</v>
      </c>
      <c r="H90" s="54" t="s">
        <v>62</v>
      </c>
      <c r="I90" s="9" t="s">
        <v>8</v>
      </c>
      <c r="J90" s="5">
        <f t="shared" si="207"/>
        <v>620</v>
      </c>
      <c r="K90" s="9"/>
      <c r="L90" s="9">
        <v>310</v>
      </c>
      <c r="M90" s="9">
        <f t="shared" si="176"/>
        <v>310</v>
      </c>
      <c r="N90" s="9">
        <v>0</v>
      </c>
      <c r="O90" s="72">
        <f t="shared" si="208"/>
        <v>310</v>
      </c>
      <c r="P90" s="74">
        <f t="shared" si="209"/>
        <v>31</v>
      </c>
      <c r="Q90" s="9"/>
      <c r="R90" s="27"/>
      <c r="S90" s="27">
        <f t="shared" si="212"/>
        <v>19.53</v>
      </c>
      <c r="T90" s="27"/>
      <c r="U90" s="29">
        <f t="shared" si="213"/>
        <v>259.47000000000003</v>
      </c>
      <c r="V90" s="27">
        <f t="shared" si="214"/>
        <v>259.47000000000003</v>
      </c>
      <c r="W90" s="28"/>
      <c r="X90" s="13">
        <f t="shared" si="229"/>
        <v>3.0000000000000068E-2</v>
      </c>
      <c r="Y90" s="17">
        <f t="shared" si="216"/>
        <v>0.91999999999999993</v>
      </c>
      <c r="Z90" s="5">
        <f t="shared" si="217"/>
        <v>238.7124</v>
      </c>
      <c r="AA90" s="17">
        <v>0.05</v>
      </c>
      <c r="AB90" s="5">
        <f t="shared" si="218"/>
        <v>12.973500000000001</v>
      </c>
      <c r="AC90" s="67"/>
      <c r="AD90" s="5"/>
      <c r="AE90" s="67"/>
      <c r="AF90" s="4">
        <f t="shared" si="219"/>
        <v>0</v>
      </c>
      <c r="AG90" s="67"/>
      <c r="AH90" s="44">
        <f t="shared" si="220"/>
        <v>0</v>
      </c>
      <c r="AI90" s="17"/>
      <c r="AJ90" s="44">
        <f t="shared" si="221"/>
        <v>0</v>
      </c>
      <c r="AK90" s="67"/>
      <c r="AL90" s="44">
        <f t="shared" si="222"/>
        <v>0</v>
      </c>
      <c r="AM90" s="67"/>
      <c r="AN90" s="4">
        <f t="shared" si="223"/>
        <v>0</v>
      </c>
      <c r="AO90" s="67"/>
      <c r="AP90" s="4">
        <f t="shared" si="224"/>
        <v>0</v>
      </c>
      <c r="AQ90" s="17"/>
      <c r="AR90" s="4">
        <f t="shared" si="225"/>
        <v>0</v>
      </c>
      <c r="AS90" s="67"/>
      <c r="AT90" s="4">
        <f t="shared" si="226"/>
        <v>0</v>
      </c>
      <c r="AU90" s="73">
        <f t="shared" si="227"/>
        <v>7.7841000000000182</v>
      </c>
    </row>
    <row r="91" spans="1:47" s="8" customFormat="1" x14ac:dyDescent="0.25">
      <c r="A91" s="21"/>
      <c r="B91" s="9">
        <f t="shared" si="228"/>
        <v>0</v>
      </c>
      <c r="C91" s="9"/>
      <c r="D91" s="9">
        <f t="shared" si="206"/>
        <v>0</v>
      </c>
      <c r="E91" s="10"/>
      <c r="F91" s="54" t="s">
        <v>67</v>
      </c>
      <c r="G91" s="27" t="s">
        <v>46</v>
      </c>
      <c r="H91" s="54" t="s">
        <v>63</v>
      </c>
      <c r="I91" s="9" t="s">
        <v>9</v>
      </c>
      <c r="J91" s="5">
        <f t="shared" si="207"/>
        <v>620</v>
      </c>
      <c r="K91" s="9"/>
      <c r="L91" s="9">
        <v>310</v>
      </c>
      <c r="M91" s="9">
        <f t="shared" si="176"/>
        <v>310</v>
      </c>
      <c r="N91" s="9"/>
      <c r="O91" s="72">
        <f t="shared" si="208"/>
        <v>310</v>
      </c>
      <c r="P91" s="74">
        <f t="shared" ref="P91" si="230">(M91-N91)*15%</f>
        <v>46.5</v>
      </c>
      <c r="Q91" s="9"/>
      <c r="R91" s="27"/>
      <c r="S91" s="27">
        <f t="shared" si="212"/>
        <v>18.445</v>
      </c>
      <c r="T91" s="27"/>
      <c r="U91" s="29">
        <f t="shared" si="213"/>
        <v>245.05500000000001</v>
      </c>
      <c r="V91" s="27">
        <f t="shared" si="214"/>
        <v>245.05500000000001</v>
      </c>
      <c r="W91" s="28"/>
      <c r="X91" s="13">
        <f>100%-Y91-AA91-AC91-AE91-AG91-AI91-AK91-AM91-AO91-AQ91</f>
        <v>3.0000000000000068E-2</v>
      </c>
      <c r="Y91" s="17">
        <f t="shared" si="216"/>
        <v>0.91999999999999993</v>
      </c>
      <c r="Z91" s="5">
        <f t="shared" si="217"/>
        <v>225.45059999999998</v>
      </c>
      <c r="AA91" s="17">
        <v>0.05</v>
      </c>
      <c r="AB91" s="5">
        <f t="shared" si="218"/>
        <v>12.252750000000001</v>
      </c>
      <c r="AC91" s="67"/>
      <c r="AD91" s="5"/>
      <c r="AE91" s="67"/>
      <c r="AF91" s="4">
        <f t="shared" si="219"/>
        <v>0</v>
      </c>
      <c r="AG91" s="67"/>
      <c r="AH91" s="44">
        <f t="shared" si="220"/>
        <v>0</v>
      </c>
      <c r="AI91" s="17"/>
      <c r="AJ91" s="44">
        <f t="shared" si="221"/>
        <v>0</v>
      </c>
      <c r="AK91" s="67"/>
      <c r="AL91" s="44">
        <f t="shared" si="222"/>
        <v>0</v>
      </c>
      <c r="AM91" s="67"/>
      <c r="AN91" s="4">
        <f t="shared" si="223"/>
        <v>0</v>
      </c>
      <c r="AO91" s="67"/>
      <c r="AP91" s="4">
        <f t="shared" si="224"/>
        <v>0</v>
      </c>
      <c r="AQ91" s="17"/>
      <c r="AR91" s="4">
        <f t="shared" si="225"/>
        <v>0</v>
      </c>
      <c r="AS91" s="67"/>
      <c r="AT91" s="4">
        <f t="shared" si="226"/>
        <v>0</v>
      </c>
      <c r="AU91" s="73">
        <f t="shared" si="227"/>
        <v>7.3516500000000171</v>
      </c>
    </row>
    <row r="92" spans="1:47" s="8" customFormat="1" x14ac:dyDescent="0.25">
      <c r="A92" s="21"/>
      <c r="B92" s="9"/>
      <c r="C92" s="9"/>
      <c r="D92" s="9"/>
      <c r="E92" s="10"/>
      <c r="F92" s="54" t="s">
        <v>67</v>
      </c>
      <c r="G92" s="27" t="s">
        <v>46</v>
      </c>
      <c r="H92" s="54" t="s">
        <v>64</v>
      </c>
      <c r="I92" s="9" t="s">
        <v>10</v>
      </c>
      <c r="J92" s="9">
        <f t="shared" si="207"/>
        <v>620</v>
      </c>
      <c r="K92" s="5"/>
      <c r="L92" s="9">
        <v>310</v>
      </c>
      <c r="M92" s="9">
        <f t="shared" si="176"/>
        <v>310</v>
      </c>
      <c r="N92" s="5"/>
      <c r="O92" s="72">
        <f t="shared" si="208"/>
        <v>310</v>
      </c>
      <c r="P92" s="74">
        <f t="shared" ref="P92:P94" si="231">(M92-N92)*5%</f>
        <v>15.5</v>
      </c>
      <c r="Q92" s="9"/>
      <c r="R92" s="27"/>
      <c r="S92" s="27">
        <f t="shared" ref="S92:S94" si="232">(O92-P92)*7%</f>
        <v>20.615000000000002</v>
      </c>
      <c r="T92" s="27"/>
      <c r="U92" s="29">
        <f t="shared" si="213"/>
        <v>273.88499999999999</v>
      </c>
      <c r="V92" s="27">
        <f t="shared" si="214"/>
        <v>273.88499999999999</v>
      </c>
      <c r="W92" s="28"/>
      <c r="X92" s="13">
        <f t="shared" ref="X92:X94" si="233">100%-Y92-AA92-AC92-AE92-AG92-AI92-AK92-AM92-AO92-AQ92</f>
        <v>9.9999999999999811E-3</v>
      </c>
      <c r="Y92" s="17">
        <f t="shared" ref="Y92:Y94" si="234">(99%-AA92-AC92-AE92-AG92-AI92-AK92-AM92-AO92-AQ92)</f>
        <v>0.78</v>
      </c>
      <c r="Z92" s="9">
        <f t="shared" si="217"/>
        <v>213.63030000000001</v>
      </c>
      <c r="AA92" s="17">
        <v>0.15</v>
      </c>
      <c r="AB92" s="5">
        <f t="shared" si="218"/>
        <v>41.082749999999997</v>
      </c>
      <c r="AC92" s="17">
        <v>0.06</v>
      </c>
      <c r="AD92" s="9">
        <f t="shared" ref="AD92:AD94" si="235">V92*AC92</f>
        <v>16.4331</v>
      </c>
      <c r="AE92" s="67"/>
      <c r="AF92" s="4">
        <f t="shared" si="219"/>
        <v>0</v>
      </c>
      <c r="AG92" s="67"/>
      <c r="AH92" s="57">
        <f t="shared" si="220"/>
        <v>0</v>
      </c>
      <c r="AI92" s="17"/>
      <c r="AJ92" s="57">
        <f t="shared" si="221"/>
        <v>0</v>
      </c>
      <c r="AK92" s="67"/>
      <c r="AL92" s="57">
        <f t="shared" si="222"/>
        <v>0</v>
      </c>
      <c r="AM92" s="67"/>
      <c r="AN92" s="9">
        <f t="shared" si="223"/>
        <v>0</v>
      </c>
      <c r="AO92" s="67"/>
      <c r="AP92" s="10">
        <f t="shared" si="224"/>
        <v>0</v>
      </c>
      <c r="AQ92" s="17"/>
      <c r="AR92" s="10">
        <f t="shared" si="225"/>
        <v>0</v>
      </c>
      <c r="AS92" s="67"/>
      <c r="AT92" s="10">
        <f t="shared" si="226"/>
        <v>0</v>
      </c>
      <c r="AU92" s="73">
        <f t="shared" si="227"/>
        <v>2.7388499999999949</v>
      </c>
    </row>
    <row r="93" spans="1:47" s="8" customFormat="1" x14ac:dyDescent="0.25">
      <c r="A93" s="21"/>
      <c r="B93" s="9">
        <f t="shared" si="228"/>
        <v>0</v>
      </c>
      <c r="C93" s="9"/>
      <c r="D93" s="9">
        <f t="shared" si="206"/>
        <v>0</v>
      </c>
      <c r="E93" s="10"/>
      <c r="F93" s="54" t="s">
        <v>67</v>
      </c>
      <c r="G93" s="27" t="s">
        <v>46</v>
      </c>
      <c r="H93" s="54" t="s">
        <v>65</v>
      </c>
      <c r="I93" s="9" t="s">
        <v>11</v>
      </c>
      <c r="J93" s="5">
        <f t="shared" si="207"/>
        <v>620</v>
      </c>
      <c r="K93" s="9"/>
      <c r="L93" s="9">
        <v>310</v>
      </c>
      <c r="M93" s="9"/>
      <c r="N93" s="9">
        <v>0</v>
      </c>
      <c r="O93" s="72">
        <f t="shared" si="208"/>
        <v>0</v>
      </c>
      <c r="P93" s="74">
        <f t="shared" si="231"/>
        <v>0</v>
      </c>
      <c r="Q93" s="9"/>
      <c r="R93" s="27"/>
      <c r="S93" s="27">
        <f t="shared" si="232"/>
        <v>0</v>
      </c>
      <c r="T93" s="27"/>
      <c r="U93" s="29">
        <f t="shared" si="213"/>
        <v>0</v>
      </c>
      <c r="V93" s="27">
        <f t="shared" si="214"/>
        <v>0</v>
      </c>
      <c r="W93" s="28"/>
      <c r="X93" s="13">
        <f t="shared" si="233"/>
        <v>9.9999999999999811E-3</v>
      </c>
      <c r="Y93" s="17">
        <f t="shared" si="234"/>
        <v>0.78</v>
      </c>
      <c r="Z93" s="9">
        <f t="shared" si="217"/>
        <v>0</v>
      </c>
      <c r="AA93" s="17">
        <v>0.15</v>
      </c>
      <c r="AB93" s="5">
        <f t="shared" si="218"/>
        <v>0</v>
      </c>
      <c r="AC93" s="17">
        <v>0.06</v>
      </c>
      <c r="AD93" s="9">
        <f t="shared" si="235"/>
        <v>0</v>
      </c>
      <c r="AE93" s="17"/>
      <c r="AF93" s="4">
        <f t="shared" si="219"/>
        <v>0</v>
      </c>
      <c r="AG93" s="17"/>
      <c r="AH93" s="44">
        <f t="shared" si="220"/>
        <v>0</v>
      </c>
      <c r="AI93" s="17"/>
      <c r="AJ93" s="44">
        <f t="shared" si="221"/>
        <v>0</v>
      </c>
      <c r="AK93" s="17"/>
      <c r="AL93" s="44">
        <f t="shared" si="222"/>
        <v>0</v>
      </c>
      <c r="AM93" s="17"/>
      <c r="AN93" s="5">
        <f t="shared" si="223"/>
        <v>0</v>
      </c>
      <c r="AO93" s="17"/>
      <c r="AP93" s="4">
        <f t="shared" si="224"/>
        <v>0</v>
      </c>
      <c r="AQ93" s="17"/>
      <c r="AR93" s="4">
        <f t="shared" si="225"/>
        <v>0</v>
      </c>
      <c r="AS93" s="17"/>
      <c r="AT93" s="4">
        <f t="shared" si="226"/>
        <v>0</v>
      </c>
      <c r="AU93" s="73">
        <f t="shared" si="227"/>
        <v>0</v>
      </c>
    </row>
    <row r="94" spans="1:47" s="8" customFormat="1" x14ac:dyDescent="0.25">
      <c r="A94" s="21"/>
      <c r="B94" s="9">
        <f t="shared" si="228"/>
        <v>0</v>
      </c>
      <c r="C94" s="9"/>
      <c r="D94" s="9">
        <f t="shared" si="206"/>
        <v>0</v>
      </c>
      <c r="E94" s="10"/>
      <c r="F94" s="54" t="s">
        <v>67</v>
      </c>
      <c r="G94" s="27" t="s">
        <v>46</v>
      </c>
      <c r="H94" s="54" t="s">
        <v>66</v>
      </c>
      <c r="I94" s="9" t="s">
        <v>12</v>
      </c>
      <c r="J94" s="5">
        <f t="shared" si="207"/>
        <v>620</v>
      </c>
      <c r="K94" s="9"/>
      <c r="L94" s="9">
        <v>310</v>
      </c>
      <c r="M94" s="9"/>
      <c r="N94" s="9">
        <v>0</v>
      </c>
      <c r="O94" s="72">
        <f t="shared" si="208"/>
        <v>0</v>
      </c>
      <c r="P94" s="74">
        <f t="shared" si="231"/>
        <v>0</v>
      </c>
      <c r="Q94" s="9"/>
      <c r="R94" s="27"/>
      <c r="S94" s="27">
        <f t="shared" si="232"/>
        <v>0</v>
      </c>
      <c r="T94" s="27"/>
      <c r="U94" s="29">
        <f t="shared" si="213"/>
        <v>0</v>
      </c>
      <c r="V94" s="27">
        <f t="shared" si="214"/>
        <v>0</v>
      </c>
      <c r="W94" s="28"/>
      <c r="X94" s="13">
        <f t="shared" si="233"/>
        <v>9.9999999999999811E-3</v>
      </c>
      <c r="Y94" s="17">
        <f t="shared" si="234"/>
        <v>0.78</v>
      </c>
      <c r="Z94" s="9">
        <f t="shared" si="217"/>
        <v>0</v>
      </c>
      <c r="AA94" s="17">
        <v>0.15</v>
      </c>
      <c r="AB94" s="5">
        <f t="shared" si="218"/>
        <v>0</v>
      </c>
      <c r="AC94" s="17">
        <v>0.06</v>
      </c>
      <c r="AD94" s="9">
        <f t="shared" si="235"/>
        <v>0</v>
      </c>
      <c r="AE94" s="17"/>
      <c r="AF94" s="4">
        <f t="shared" si="219"/>
        <v>0</v>
      </c>
      <c r="AG94" s="17"/>
      <c r="AH94" s="44">
        <f t="shared" si="220"/>
        <v>0</v>
      </c>
      <c r="AI94" s="17"/>
      <c r="AJ94" s="44">
        <f t="shared" si="221"/>
        <v>0</v>
      </c>
      <c r="AK94" s="17"/>
      <c r="AL94" s="44">
        <f t="shared" si="222"/>
        <v>0</v>
      </c>
      <c r="AM94" s="17"/>
      <c r="AN94" s="5">
        <f t="shared" si="223"/>
        <v>0</v>
      </c>
      <c r="AO94" s="17"/>
      <c r="AP94" s="4">
        <f t="shared" si="224"/>
        <v>0</v>
      </c>
      <c r="AQ94" s="17"/>
      <c r="AR94" s="4">
        <f t="shared" si="225"/>
        <v>0</v>
      </c>
      <c r="AS94" s="17"/>
      <c r="AT94" s="4">
        <f t="shared" si="226"/>
        <v>0</v>
      </c>
      <c r="AU94" s="73">
        <f t="shared" si="227"/>
        <v>0</v>
      </c>
    </row>
    <row r="95" spans="1:47" x14ac:dyDescent="0.25">
      <c r="A95" s="21"/>
      <c r="C95" s="9"/>
      <c r="D95" s="10"/>
      <c r="E95" s="10"/>
      <c r="F95" s="8"/>
      <c r="G95" s="8"/>
      <c r="H95" s="8"/>
      <c r="I95" s="9"/>
      <c r="J95" s="9"/>
      <c r="K95" s="9"/>
      <c r="L95" s="9"/>
      <c r="M95" s="9"/>
      <c r="N95" s="9"/>
      <c r="O95" s="9"/>
      <c r="P95" s="9"/>
      <c r="Q95" s="9"/>
      <c r="Z95" s="5"/>
      <c r="AB95" s="5"/>
      <c r="AD95" s="5"/>
      <c r="AH95" s="44"/>
      <c r="AJ95" s="44"/>
      <c r="AL95" s="44"/>
      <c r="AN95" s="5"/>
      <c r="AP95" s="5"/>
      <c r="AR95" s="5"/>
      <c r="AT95" s="5"/>
    </row>
    <row r="96" spans="1:47" s="8" customFormat="1" x14ac:dyDescent="0.25">
      <c r="A96" s="21"/>
      <c r="B96" s="9">
        <f t="shared" ref="B96:B101" si="236">IF(A96="",0,((U96)*10%))</f>
        <v>0</v>
      </c>
      <c r="C96" s="9"/>
      <c r="D96" s="9">
        <f t="shared" ref="D96:D101" si="237">IF(C96="",0,((U96)*5%))</f>
        <v>0</v>
      </c>
      <c r="E96" s="10"/>
      <c r="F96" s="71" t="s">
        <v>21</v>
      </c>
      <c r="G96" s="70" t="s">
        <v>46</v>
      </c>
      <c r="H96" s="71" t="s">
        <v>55</v>
      </c>
      <c r="I96" s="5" t="s">
        <v>3</v>
      </c>
      <c r="J96" s="5">
        <f t="shared" ref="J96:J101" si="238">L96*2</f>
        <v>584</v>
      </c>
      <c r="K96" s="5"/>
      <c r="L96" s="9">
        <v>292</v>
      </c>
      <c r="M96" s="9">
        <f t="shared" ref="M96:M101" si="239">L96</f>
        <v>292</v>
      </c>
      <c r="N96" s="9"/>
      <c r="O96" s="72">
        <f t="shared" ref="O96:O101" si="240">M96-N96</f>
        <v>292</v>
      </c>
      <c r="P96" s="74">
        <f t="shared" ref="P96:P101" si="241">(M96-N96)*10%</f>
        <v>29.200000000000003</v>
      </c>
      <c r="Q96" s="9">
        <f t="shared" ref="Q96:Q99" si="242">(M96-N96)*10%</f>
        <v>29.200000000000003</v>
      </c>
      <c r="R96" s="70">
        <f>(M96-N96-P96-Q96)*20%</f>
        <v>46.720000000000006</v>
      </c>
      <c r="S96" s="70"/>
      <c r="T96" s="70"/>
      <c r="U96" s="79">
        <f t="shared" ref="U96:U101" si="243">M96-N96-P96-Q96-R96-S96</f>
        <v>186.88000000000002</v>
      </c>
      <c r="V96" s="70">
        <f t="shared" ref="V96:V101" si="244">U96-B96-D96</f>
        <v>186.88000000000002</v>
      </c>
      <c r="W96" s="77"/>
      <c r="X96" s="78">
        <f t="shared" ref="X96:X101" si="245">100%-Y96-AA96-AC96-AE96-AG96-AI96-AK96-AM96-AO96-AQ96</f>
        <v>3.0000000000000027E-2</v>
      </c>
      <c r="Y96" s="17">
        <f t="shared" ref="Y96:Y101" si="246">(97%-AA96-AC96-AE96-AG96-AI96-AK96-AM96-AO96-AQ96)</f>
        <v>0.97</v>
      </c>
      <c r="Z96" s="5">
        <f>(V96*Y96)+Q96+R96</f>
        <v>257.19360000000006</v>
      </c>
      <c r="AA96" s="17"/>
      <c r="AB96" s="5">
        <f t="shared" ref="AB96:AB101" si="247">(V96*AA96)</f>
        <v>0</v>
      </c>
      <c r="AC96" s="67"/>
      <c r="AD96" s="5"/>
      <c r="AE96" s="67"/>
      <c r="AF96" s="4">
        <f t="shared" ref="AF96:AF101" si="248">V96*AE96</f>
        <v>0</v>
      </c>
      <c r="AG96" s="67"/>
      <c r="AH96" s="44">
        <f t="shared" ref="AH96:AH101" si="249">V96*AG96</f>
        <v>0</v>
      </c>
      <c r="AI96" s="17"/>
      <c r="AJ96" s="44">
        <f t="shared" ref="AJ96:AJ101" si="250">V96*AI96</f>
        <v>0</v>
      </c>
      <c r="AK96" s="67"/>
      <c r="AL96" s="44">
        <f t="shared" ref="AL96:AL101" si="251">V96*AK96</f>
        <v>0</v>
      </c>
      <c r="AM96" s="67"/>
      <c r="AN96" s="4">
        <f t="shared" ref="AN96:AN101" si="252">V96*AM96</f>
        <v>0</v>
      </c>
      <c r="AO96" s="67"/>
      <c r="AP96" s="4">
        <f t="shared" ref="AP96:AP101" si="253">V96*AO96</f>
        <v>0</v>
      </c>
      <c r="AQ96" s="17"/>
      <c r="AR96" s="4">
        <f t="shared" ref="AR96:AR101" si="254">V96*AQ96</f>
        <v>0</v>
      </c>
      <c r="AS96" s="67"/>
      <c r="AT96" s="4">
        <f t="shared" ref="AT96:AT101" si="255">X96*AS96</f>
        <v>0</v>
      </c>
      <c r="AU96" s="73">
        <f t="shared" ref="AU96:AU101" si="256">V96*X96</f>
        <v>5.606400000000006</v>
      </c>
    </row>
    <row r="97" spans="1:47" s="8" customFormat="1" x14ac:dyDescent="0.25">
      <c r="A97" s="21"/>
      <c r="B97" s="9">
        <f t="shared" si="236"/>
        <v>0</v>
      </c>
      <c r="C97" s="9"/>
      <c r="D97" s="9">
        <f t="shared" si="237"/>
        <v>0</v>
      </c>
      <c r="E97" s="10"/>
      <c r="F97" s="71" t="s">
        <v>21</v>
      </c>
      <c r="G97" s="70" t="s">
        <v>46</v>
      </c>
      <c r="H97" s="71" t="s">
        <v>56</v>
      </c>
      <c r="I97" s="9" t="s">
        <v>4</v>
      </c>
      <c r="J97" s="5">
        <f t="shared" si="238"/>
        <v>584</v>
      </c>
      <c r="K97" s="9"/>
      <c r="L97" s="9">
        <v>292</v>
      </c>
      <c r="M97" s="9">
        <f t="shared" si="239"/>
        <v>292</v>
      </c>
      <c r="N97" s="9"/>
      <c r="O97" s="72">
        <f t="shared" si="240"/>
        <v>292</v>
      </c>
      <c r="P97" s="74">
        <f t="shared" si="241"/>
        <v>29.200000000000003</v>
      </c>
      <c r="Q97" s="9">
        <f t="shared" si="242"/>
        <v>29.200000000000003</v>
      </c>
      <c r="R97" s="70">
        <f>(M97-N97-P97-Q97)*20%</f>
        <v>46.720000000000006</v>
      </c>
      <c r="S97" s="70"/>
      <c r="T97" s="70"/>
      <c r="U97" s="79">
        <f t="shared" si="243"/>
        <v>186.88000000000002</v>
      </c>
      <c r="V97" s="70">
        <f t="shared" si="244"/>
        <v>186.88000000000002</v>
      </c>
      <c r="W97" s="77"/>
      <c r="X97" s="78">
        <f t="shared" si="245"/>
        <v>3.0000000000000027E-2</v>
      </c>
      <c r="Y97" s="17">
        <f t="shared" si="246"/>
        <v>0.97</v>
      </c>
      <c r="Z97" s="5">
        <f t="shared" ref="Z97:Z101" si="257">(V97*Y97)+Q97+R97</f>
        <v>257.19360000000006</v>
      </c>
      <c r="AA97" s="17"/>
      <c r="AB97" s="5">
        <f t="shared" si="247"/>
        <v>0</v>
      </c>
      <c r="AC97" s="67"/>
      <c r="AD97" s="5"/>
      <c r="AE97" s="67"/>
      <c r="AF97" s="4">
        <f t="shared" si="248"/>
        <v>0</v>
      </c>
      <c r="AG97" s="67"/>
      <c r="AH97" s="44">
        <f t="shared" si="249"/>
        <v>0</v>
      </c>
      <c r="AI97" s="17"/>
      <c r="AJ97" s="44">
        <f t="shared" si="250"/>
        <v>0</v>
      </c>
      <c r="AK97" s="67"/>
      <c r="AL97" s="44">
        <f t="shared" si="251"/>
        <v>0</v>
      </c>
      <c r="AM97" s="67"/>
      <c r="AN97" s="4">
        <f t="shared" si="252"/>
        <v>0</v>
      </c>
      <c r="AO97" s="67"/>
      <c r="AP97" s="4">
        <f t="shared" si="253"/>
        <v>0</v>
      </c>
      <c r="AQ97" s="17"/>
      <c r="AR97" s="4">
        <f t="shared" si="254"/>
        <v>0</v>
      </c>
      <c r="AS97" s="67"/>
      <c r="AT97" s="4">
        <f t="shared" si="255"/>
        <v>0</v>
      </c>
      <c r="AU97" s="73">
        <f t="shared" si="256"/>
        <v>5.606400000000006</v>
      </c>
    </row>
    <row r="98" spans="1:47" s="8" customFormat="1" x14ac:dyDescent="0.25">
      <c r="A98" s="21"/>
      <c r="B98" s="9">
        <f t="shared" si="236"/>
        <v>0</v>
      </c>
      <c r="C98" s="9"/>
      <c r="D98" s="9">
        <f t="shared" si="237"/>
        <v>0</v>
      </c>
      <c r="E98" s="10"/>
      <c r="F98" s="71" t="s">
        <v>21</v>
      </c>
      <c r="G98" s="70" t="s">
        <v>46</v>
      </c>
      <c r="H98" s="71" t="s">
        <v>57</v>
      </c>
      <c r="I98" s="9" t="s">
        <v>5</v>
      </c>
      <c r="J98" s="5">
        <f t="shared" si="238"/>
        <v>584</v>
      </c>
      <c r="K98" s="9"/>
      <c r="L98" s="9">
        <v>292</v>
      </c>
      <c r="M98" s="9">
        <f t="shared" si="239"/>
        <v>292</v>
      </c>
      <c r="N98" s="9"/>
      <c r="O98" s="72">
        <f t="shared" si="240"/>
        <v>292</v>
      </c>
      <c r="P98" s="74">
        <f t="shared" si="241"/>
        <v>29.200000000000003</v>
      </c>
      <c r="Q98" s="9">
        <f t="shared" si="242"/>
        <v>29.200000000000003</v>
      </c>
      <c r="R98" s="70">
        <f>(M98-N98-P98-Q98)*20%</f>
        <v>46.720000000000006</v>
      </c>
      <c r="S98" s="70"/>
      <c r="T98" s="70"/>
      <c r="U98" s="79">
        <f t="shared" si="243"/>
        <v>186.88000000000002</v>
      </c>
      <c r="V98" s="70">
        <f t="shared" si="244"/>
        <v>186.88000000000002</v>
      </c>
      <c r="W98" s="77"/>
      <c r="X98" s="78">
        <f t="shared" si="245"/>
        <v>3.0000000000000027E-2</v>
      </c>
      <c r="Y98" s="17">
        <f t="shared" si="246"/>
        <v>0.97</v>
      </c>
      <c r="Z98" s="5">
        <f t="shared" si="257"/>
        <v>257.19360000000006</v>
      </c>
      <c r="AA98" s="17"/>
      <c r="AB98" s="5">
        <f t="shared" si="247"/>
        <v>0</v>
      </c>
      <c r="AC98" s="67"/>
      <c r="AD98" s="5"/>
      <c r="AE98" s="67"/>
      <c r="AF98" s="4">
        <f t="shared" si="248"/>
        <v>0</v>
      </c>
      <c r="AG98" s="67"/>
      <c r="AH98" s="44">
        <f t="shared" si="249"/>
        <v>0</v>
      </c>
      <c r="AI98" s="17"/>
      <c r="AJ98" s="44">
        <f t="shared" si="250"/>
        <v>0</v>
      </c>
      <c r="AK98" s="67"/>
      <c r="AL98" s="44">
        <f t="shared" si="251"/>
        <v>0</v>
      </c>
      <c r="AM98" s="67"/>
      <c r="AN98" s="4">
        <f t="shared" si="252"/>
        <v>0</v>
      </c>
      <c r="AO98" s="67"/>
      <c r="AP98" s="4">
        <f t="shared" si="253"/>
        <v>0</v>
      </c>
      <c r="AQ98" s="17"/>
      <c r="AR98" s="4">
        <f t="shared" si="254"/>
        <v>0</v>
      </c>
      <c r="AS98" s="67"/>
      <c r="AT98" s="4">
        <f t="shared" si="255"/>
        <v>0</v>
      </c>
      <c r="AU98" s="73">
        <f t="shared" si="256"/>
        <v>5.606400000000006</v>
      </c>
    </row>
    <row r="99" spans="1:47" s="8" customFormat="1" x14ac:dyDescent="0.25">
      <c r="A99" s="21"/>
      <c r="B99" s="9">
        <f t="shared" si="236"/>
        <v>0</v>
      </c>
      <c r="C99" s="9"/>
      <c r="D99" s="9">
        <f t="shared" si="237"/>
        <v>0</v>
      </c>
      <c r="E99" s="10"/>
      <c r="F99" s="71" t="s">
        <v>21</v>
      </c>
      <c r="G99" s="70" t="s">
        <v>46</v>
      </c>
      <c r="H99" s="71" t="s">
        <v>60</v>
      </c>
      <c r="I99" s="9" t="s">
        <v>6</v>
      </c>
      <c r="J99" s="5">
        <f t="shared" si="238"/>
        <v>584</v>
      </c>
      <c r="K99" s="9"/>
      <c r="L99" s="9">
        <v>292</v>
      </c>
      <c r="M99" s="9">
        <f t="shared" si="239"/>
        <v>292</v>
      </c>
      <c r="N99" s="9"/>
      <c r="O99" s="72">
        <f t="shared" si="240"/>
        <v>292</v>
      </c>
      <c r="P99" s="74">
        <f t="shared" si="241"/>
        <v>29.200000000000003</v>
      </c>
      <c r="Q99" s="9">
        <f t="shared" si="242"/>
        <v>29.200000000000003</v>
      </c>
      <c r="R99" s="70">
        <f>(M99-N99-P99-Q99)*20%</f>
        <v>46.720000000000006</v>
      </c>
      <c r="S99" s="70"/>
      <c r="T99" s="70"/>
      <c r="U99" s="79">
        <f t="shared" si="243"/>
        <v>186.88000000000002</v>
      </c>
      <c r="V99" s="70">
        <f t="shared" si="244"/>
        <v>186.88000000000002</v>
      </c>
      <c r="W99" s="77"/>
      <c r="X99" s="78">
        <f t="shared" si="245"/>
        <v>3.0000000000000027E-2</v>
      </c>
      <c r="Y99" s="17">
        <f t="shared" si="246"/>
        <v>0.97</v>
      </c>
      <c r="Z99" s="5">
        <f t="shared" si="257"/>
        <v>257.19360000000006</v>
      </c>
      <c r="AA99" s="17"/>
      <c r="AB99" s="5">
        <f t="shared" si="247"/>
        <v>0</v>
      </c>
      <c r="AC99" s="67"/>
      <c r="AD99" s="5"/>
      <c r="AE99" s="67"/>
      <c r="AF99" s="4">
        <f t="shared" si="248"/>
        <v>0</v>
      </c>
      <c r="AG99" s="67"/>
      <c r="AH99" s="44">
        <f t="shared" si="249"/>
        <v>0</v>
      </c>
      <c r="AI99" s="17"/>
      <c r="AJ99" s="44">
        <f t="shared" si="250"/>
        <v>0</v>
      </c>
      <c r="AK99" s="67"/>
      <c r="AL99" s="44">
        <f t="shared" si="251"/>
        <v>0</v>
      </c>
      <c r="AM99" s="67"/>
      <c r="AN99" s="4">
        <f t="shared" si="252"/>
        <v>0</v>
      </c>
      <c r="AO99" s="67"/>
      <c r="AP99" s="4">
        <f t="shared" si="253"/>
        <v>0</v>
      </c>
      <c r="AQ99" s="17"/>
      <c r="AR99" s="4">
        <f t="shared" si="254"/>
        <v>0</v>
      </c>
      <c r="AS99" s="67"/>
      <c r="AT99" s="4">
        <f t="shared" si="255"/>
        <v>0</v>
      </c>
      <c r="AU99" s="73">
        <f t="shared" si="256"/>
        <v>5.606400000000006</v>
      </c>
    </row>
    <row r="100" spans="1:47" s="8" customFormat="1" x14ac:dyDescent="0.25">
      <c r="A100" s="21"/>
      <c r="B100" s="9">
        <f t="shared" si="236"/>
        <v>0</v>
      </c>
      <c r="C100" s="9"/>
      <c r="D100" s="9">
        <f t="shared" si="237"/>
        <v>0</v>
      </c>
      <c r="E100" s="10"/>
      <c r="F100" s="71" t="s">
        <v>21</v>
      </c>
      <c r="G100" s="70" t="s">
        <v>46</v>
      </c>
      <c r="H100" s="71" t="s">
        <v>61</v>
      </c>
      <c r="I100" s="9" t="s">
        <v>7</v>
      </c>
      <c r="J100" s="5">
        <f t="shared" si="238"/>
        <v>584</v>
      </c>
      <c r="K100" s="9"/>
      <c r="L100" s="9">
        <v>292</v>
      </c>
      <c r="M100" s="9">
        <f t="shared" si="239"/>
        <v>292</v>
      </c>
      <c r="N100" s="9">
        <v>0</v>
      </c>
      <c r="O100" s="72">
        <f t="shared" si="240"/>
        <v>292</v>
      </c>
      <c r="P100" s="74">
        <f t="shared" si="241"/>
        <v>29.200000000000003</v>
      </c>
      <c r="Q100" s="9"/>
      <c r="R100" s="70">
        <f>(M100-N100-P100-Q100)*20%</f>
        <v>52.56</v>
      </c>
      <c r="S100" s="70"/>
      <c r="T100" s="70"/>
      <c r="U100" s="79">
        <f t="shared" si="243"/>
        <v>210.24</v>
      </c>
      <c r="V100" s="70">
        <f t="shared" si="244"/>
        <v>210.24</v>
      </c>
      <c r="W100" s="77"/>
      <c r="X100" s="78">
        <f t="shared" si="245"/>
        <v>3.0000000000000027E-2</v>
      </c>
      <c r="Y100" s="17">
        <f t="shared" si="246"/>
        <v>0.97</v>
      </c>
      <c r="Z100" s="5">
        <f t="shared" si="257"/>
        <v>256.49279999999999</v>
      </c>
      <c r="AA100" s="17"/>
      <c r="AB100" s="5">
        <f t="shared" si="247"/>
        <v>0</v>
      </c>
      <c r="AC100" s="67"/>
      <c r="AD100" s="5"/>
      <c r="AE100" s="67"/>
      <c r="AF100" s="4">
        <f t="shared" si="248"/>
        <v>0</v>
      </c>
      <c r="AG100" s="67"/>
      <c r="AH100" s="44">
        <f t="shared" si="249"/>
        <v>0</v>
      </c>
      <c r="AI100" s="17"/>
      <c r="AJ100" s="44">
        <f t="shared" si="250"/>
        <v>0</v>
      </c>
      <c r="AK100" s="67"/>
      <c r="AL100" s="44">
        <f t="shared" si="251"/>
        <v>0</v>
      </c>
      <c r="AM100" s="67"/>
      <c r="AN100" s="4">
        <f t="shared" si="252"/>
        <v>0</v>
      </c>
      <c r="AO100" s="67"/>
      <c r="AP100" s="4">
        <f t="shared" si="253"/>
        <v>0</v>
      </c>
      <c r="AQ100" s="17"/>
      <c r="AR100" s="4">
        <f t="shared" si="254"/>
        <v>0</v>
      </c>
      <c r="AS100" s="67"/>
      <c r="AT100" s="4">
        <f t="shared" si="255"/>
        <v>0</v>
      </c>
      <c r="AU100" s="73">
        <f t="shared" si="256"/>
        <v>6.3072000000000061</v>
      </c>
    </row>
    <row r="101" spans="1:47" s="8" customFormat="1" x14ac:dyDescent="0.25">
      <c r="A101" s="21"/>
      <c r="B101" s="9">
        <f t="shared" si="236"/>
        <v>0</v>
      </c>
      <c r="C101" s="9"/>
      <c r="D101" s="9">
        <f t="shared" si="237"/>
        <v>0</v>
      </c>
      <c r="E101" s="10"/>
      <c r="F101" s="71" t="s">
        <v>21</v>
      </c>
      <c r="G101" s="70" t="s">
        <v>46</v>
      </c>
      <c r="H101" s="71" t="s">
        <v>62</v>
      </c>
      <c r="I101" s="9" t="s">
        <v>8</v>
      </c>
      <c r="J101" s="5">
        <f t="shared" si="238"/>
        <v>584</v>
      </c>
      <c r="K101" s="9"/>
      <c r="L101" s="9">
        <v>292</v>
      </c>
      <c r="M101" s="9">
        <f t="shared" si="239"/>
        <v>292</v>
      </c>
      <c r="N101" s="9">
        <v>0</v>
      </c>
      <c r="O101" s="72">
        <f t="shared" si="240"/>
        <v>292</v>
      </c>
      <c r="P101" s="74">
        <f t="shared" si="241"/>
        <v>29.200000000000003</v>
      </c>
      <c r="Q101" s="9"/>
      <c r="R101" s="70"/>
      <c r="S101" s="70"/>
      <c r="T101" s="70"/>
      <c r="U101" s="79">
        <f t="shared" si="243"/>
        <v>262.8</v>
      </c>
      <c r="V101" s="70">
        <f t="shared" si="244"/>
        <v>262.8</v>
      </c>
      <c r="W101" s="77"/>
      <c r="X101" s="78">
        <f t="shared" si="245"/>
        <v>3.0000000000000027E-2</v>
      </c>
      <c r="Y101" s="17">
        <f t="shared" si="246"/>
        <v>0.97</v>
      </c>
      <c r="Z101" s="5">
        <f t="shared" si="257"/>
        <v>254.916</v>
      </c>
      <c r="AA101" s="17"/>
      <c r="AB101" s="5">
        <f t="shared" si="247"/>
        <v>0</v>
      </c>
      <c r="AC101" s="67"/>
      <c r="AD101" s="5"/>
      <c r="AE101" s="67"/>
      <c r="AF101" s="4">
        <f t="shared" si="248"/>
        <v>0</v>
      </c>
      <c r="AG101" s="67"/>
      <c r="AH101" s="44">
        <f t="shared" si="249"/>
        <v>0</v>
      </c>
      <c r="AI101" s="17"/>
      <c r="AJ101" s="44">
        <f t="shared" si="250"/>
        <v>0</v>
      </c>
      <c r="AK101" s="67"/>
      <c r="AL101" s="44">
        <f t="shared" si="251"/>
        <v>0</v>
      </c>
      <c r="AM101" s="67"/>
      <c r="AN101" s="4">
        <f t="shared" si="252"/>
        <v>0</v>
      </c>
      <c r="AO101" s="67"/>
      <c r="AP101" s="4">
        <f t="shared" si="253"/>
        <v>0</v>
      </c>
      <c r="AQ101" s="17"/>
      <c r="AR101" s="4">
        <f t="shared" si="254"/>
        <v>0</v>
      </c>
      <c r="AS101" s="67"/>
      <c r="AT101" s="4">
        <f t="shared" si="255"/>
        <v>0</v>
      </c>
      <c r="AU101" s="73">
        <f t="shared" si="256"/>
        <v>7.8840000000000074</v>
      </c>
    </row>
    <row r="102" spans="1:47" x14ac:dyDescent="0.25">
      <c r="A102" s="21"/>
      <c r="C102" s="9"/>
      <c r="D102" s="10"/>
      <c r="E102" s="10"/>
      <c r="F102" s="8"/>
      <c r="G102" s="8"/>
      <c r="H102" s="8"/>
      <c r="I102" s="9"/>
      <c r="J102" s="9"/>
      <c r="K102" s="9"/>
      <c r="L102" s="9"/>
      <c r="N102" s="9"/>
      <c r="O102" s="9"/>
      <c r="P102" s="9"/>
      <c r="Q102" s="9"/>
      <c r="R102" s="14"/>
      <c r="S102" s="12"/>
      <c r="T102" s="12"/>
      <c r="U102" s="15"/>
      <c r="V102" s="12"/>
      <c r="W102" s="12"/>
      <c r="X102" s="12"/>
      <c r="Y102" s="17"/>
      <c r="Z102" s="12"/>
      <c r="AA102" s="128"/>
      <c r="AB102" s="69"/>
      <c r="AC102" s="67"/>
      <c r="AD102" s="12"/>
      <c r="AE102" s="67"/>
      <c r="AF102" s="12"/>
      <c r="AG102" s="67"/>
      <c r="AH102" s="56"/>
      <c r="AI102" s="17"/>
      <c r="AJ102" s="56"/>
      <c r="AK102" s="67"/>
      <c r="AL102" s="56"/>
      <c r="AM102" s="67"/>
      <c r="AN102" s="15"/>
      <c r="AO102" s="84"/>
      <c r="AP102" s="15"/>
      <c r="AQ102" s="17"/>
      <c r="AR102" s="12"/>
      <c r="AS102" s="67"/>
      <c r="AT102" s="12"/>
    </row>
    <row r="103" spans="1:47" s="8" customFormat="1" x14ac:dyDescent="0.25">
      <c r="A103" s="21" t="s">
        <v>22</v>
      </c>
      <c r="B103" s="9">
        <f t="shared" ref="B103:B114" si="258">IF(A103="",0,((U103)*10%))</f>
        <v>26.367359999999998</v>
      </c>
      <c r="C103" s="9"/>
      <c r="D103" s="9">
        <f t="shared" ref="D103:D114" si="259">IF(C103="",0,((U103)*5%))</f>
        <v>0</v>
      </c>
      <c r="E103" s="10"/>
      <c r="F103" s="54" t="s">
        <v>39</v>
      </c>
      <c r="G103" s="27" t="s">
        <v>46</v>
      </c>
      <c r="H103" s="54" t="s">
        <v>55</v>
      </c>
      <c r="I103" s="5" t="s">
        <v>3</v>
      </c>
      <c r="J103" s="5">
        <f t="shared" ref="J103:J114" si="260">L103*2</f>
        <v>890</v>
      </c>
      <c r="K103" s="5"/>
      <c r="L103" s="9">
        <v>445</v>
      </c>
      <c r="M103" s="9">
        <f t="shared" ref="M103:M112" si="261">L103</f>
        <v>445</v>
      </c>
      <c r="N103" s="9">
        <v>2</v>
      </c>
      <c r="O103" s="72">
        <f t="shared" ref="O103:O114" si="262">M103-N103</f>
        <v>443</v>
      </c>
      <c r="P103" s="74">
        <f t="shared" ref="P103:P110" si="263">(M103-N103)*10%</f>
        <v>44.300000000000004</v>
      </c>
      <c r="Q103" s="9">
        <f t="shared" ref="Q103:Q108" si="264">(M103-N103)*10%</f>
        <v>44.300000000000004</v>
      </c>
      <c r="R103" s="27">
        <f t="shared" ref="R103:R109" si="265">(M103-N103-P103-Q103)*20%</f>
        <v>70.88</v>
      </c>
      <c r="S103" s="27">
        <f t="shared" ref="S103:S111" si="266">(O103-P103-Q103-R103)*7%</f>
        <v>19.846399999999999</v>
      </c>
      <c r="T103" s="27">
        <f t="shared" ref="T103:T110" si="267">(M103-N103-P103-Q103-R103-S103)*10%</f>
        <v>26.367359999999998</v>
      </c>
      <c r="U103" s="29">
        <f t="shared" ref="U103:U114" si="268">M103-N103-P103-Q103-R103-S103</f>
        <v>263.67359999999996</v>
      </c>
      <c r="V103" s="27">
        <f t="shared" ref="V103:V114" si="269">U103-B103-D103</f>
        <v>237.30623999999997</v>
      </c>
      <c r="W103" s="28"/>
      <c r="X103" s="13">
        <f t="shared" ref="X103:X106" si="270">100%-Y103-AA103-AC103-AE103-AG103-AI103-AK103-AM103-AO103-AQ103</f>
        <v>3.0000000000000027E-2</v>
      </c>
      <c r="Y103" s="17">
        <f t="shared" ref="Y103:Y111" si="271">(97%-AA103-AC103-AE103-AG103-AI103-AK103-AM103-AO103-AQ103)</f>
        <v>0.97</v>
      </c>
      <c r="Z103" s="5">
        <f t="shared" ref="Z103:Z114" si="272">(V103*Y103)+Q103+R103</f>
        <v>345.36705279999995</v>
      </c>
      <c r="AA103" s="17"/>
      <c r="AB103" s="5">
        <f t="shared" ref="AB103:AB114" si="273">(V103*AA103)</f>
        <v>0</v>
      </c>
      <c r="AC103" s="67"/>
      <c r="AD103" s="5"/>
      <c r="AE103" s="67"/>
      <c r="AF103" s="4">
        <f t="shared" ref="AF103:AF114" si="274">V103*AE103</f>
        <v>0</v>
      </c>
      <c r="AG103" s="67"/>
      <c r="AH103" s="44">
        <f t="shared" ref="AH103:AH114" si="275">V103*AG103</f>
        <v>0</v>
      </c>
      <c r="AI103" s="17"/>
      <c r="AJ103" s="44">
        <f t="shared" ref="AJ103:AJ114" si="276">V103*AI103</f>
        <v>0</v>
      </c>
      <c r="AK103" s="67"/>
      <c r="AL103" s="44">
        <f t="shared" ref="AL103:AL114" si="277">V103*AK103</f>
        <v>0</v>
      </c>
      <c r="AM103" s="67"/>
      <c r="AN103" s="4">
        <f t="shared" ref="AN103:AN114" si="278">V103*AM103</f>
        <v>0</v>
      </c>
      <c r="AO103" s="67"/>
      <c r="AP103" s="4">
        <f t="shared" ref="AP103:AP114" si="279">V103*AO103</f>
        <v>0</v>
      </c>
      <c r="AQ103" s="17"/>
      <c r="AR103" s="4">
        <f t="shared" ref="AR103:AR114" si="280">V103*AQ103</f>
        <v>0</v>
      </c>
      <c r="AS103" s="67"/>
      <c r="AT103" s="4">
        <f t="shared" ref="AT103:AT114" si="281">X103*AS103</f>
        <v>0</v>
      </c>
      <c r="AU103" s="73">
        <f t="shared" ref="AU103:AU114" si="282">V103*X103</f>
        <v>7.1191872000000052</v>
      </c>
    </row>
    <row r="104" spans="1:47" s="8" customFormat="1" x14ac:dyDescent="0.25">
      <c r="A104" s="21" t="s">
        <v>22</v>
      </c>
      <c r="B104" s="9">
        <f t="shared" si="258"/>
        <v>26.367359999999998</v>
      </c>
      <c r="C104" s="9"/>
      <c r="D104" s="9">
        <f t="shared" si="259"/>
        <v>0</v>
      </c>
      <c r="E104" s="10"/>
      <c r="F104" s="54" t="str">
        <f>F103</f>
        <v>Granit</v>
      </c>
      <c r="G104" s="27" t="s">
        <v>46</v>
      </c>
      <c r="H104" s="54" t="s">
        <v>56</v>
      </c>
      <c r="I104" s="9" t="s">
        <v>4</v>
      </c>
      <c r="J104" s="5">
        <f t="shared" si="260"/>
        <v>890</v>
      </c>
      <c r="K104" s="9"/>
      <c r="L104" s="9">
        <f>L103</f>
        <v>445</v>
      </c>
      <c r="M104" s="9">
        <f t="shared" si="261"/>
        <v>445</v>
      </c>
      <c r="N104" s="9">
        <v>2</v>
      </c>
      <c r="O104" s="72">
        <f t="shared" si="262"/>
        <v>443</v>
      </c>
      <c r="P104" s="74">
        <f t="shared" si="263"/>
        <v>44.300000000000004</v>
      </c>
      <c r="Q104" s="9">
        <f t="shared" si="264"/>
        <v>44.300000000000004</v>
      </c>
      <c r="R104" s="27">
        <f t="shared" si="265"/>
        <v>70.88</v>
      </c>
      <c r="S104" s="27">
        <f t="shared" si="266"/>
        <v>19.846399999999999</v>
      </c>
      <c r="T104" s="27">
        <f t="shared" si="267"/>
        <v>26.367359999999998</v>
      </c>
      <c r="U104" s="29">
        <f t="shared" si="268"/>
        <v>263.67359999999996</v>
      </c>
      <c r="V104" s="27">
        <f t="shared" si="269"/>
        <v>237.30623999999997</v>
      </c>
      <c r="W104" s="28"/>
      <c r="X104" s="13">
        <f t="shared" si="270"/>
        <v>3.0000000000000027E-2</v>
      </c>
      <c r="Y104" s="17">
        <f t="shared" si="271"/>
        <v>0.97</v>
      </c>
      <c r="Z104" s="5">
        <f t="shared" si="272"/>
        <v>345.36705279999995</v>
      </c>
      <c r="AA104" s="17"/>
      <c r="AB104" s="5">
        <f t="shared" si="273"/>
        <v>0</v>
      </c>
      <c r="AC104" s="67"/>
      <c r="AD104" s="5"/>
      <c r="AE104" s="67"/>
      <c r="AF104" s="4">
        <f t="shared" si="274"/>
        <v>0</v>
      </c>
      <c r="AG104" s="67"/>
      <c r="AH104" s="44">
        <f t="shared" si="275"/>
        <v>0</v>
      </c>
      <c r="AI104" s="17"/>
      <c r="AJ104" s="44">
        <f t="shared" si="276"/>
        <v>0</v>
      </c>
      <c r="AK104" s="67"/>
      <c r="AL104" s="44">
        <f t="shared" si="277"/>
        <v>0</v>
      </c>
      <c r="AM104" s="67"/>
      <c r="AN104" s="4">
        <f t="shared" si="278"/>
        <v>0</v>
      </c>
      <c r="AO104" s="67"/>
      <c r="AP104" s="4">
        <f t="shared" si="279"/>
        <v>0</v>
      </c>
      <c r="AQ104" s="17"/>
      <c r="AR104" s="4">
        <f t="shared" si="280"/>
        <v>0</v>
      </c>
      <c r="AS104" s="67"/>
      <c r="AT104" s="4">
        <f t="shared" si="281"/>
        <v>0</v>
      </c>
      <c r="AU104" s="73">
        <f t="shared" si="282"/>
        <v>7.1191872000000052</v>
      </c>
    </row>
    <row r="105" spans="1:47" s="8" customFormat="1" x14ac:dyDescent="0.25">
      <c r="A105" s="21" t="s">
        <v>22</v>
      </c>
      <c r="B105" s="9">
        <f t="shared" si="258"/>
        <v>26.367359999999998</v>
      </c>
      <c r="C105" s="9"/>
      <c r="D105" s="9">
        <f t="shared" si="259"/>
        <v>0</v>
      </c>
      <c r="E105" s="10"/>
      <c r="F105" s="54" t="str">
        <f>F103</f>
        <v>Granit</v>
      </c>
      <c r="G105" s="27" t="s">
        <v>46</v>
      </c>
      <c r="H105" s="54" t="s">
        <v>57</v>
      </c>
      <c r="I105" s="9" t="s">
        <v>5</v>
      </c>
      <c r="J105" s="5">
        <f t="shared" si="260"/>
        <v>890</v>
      </c>
      <c r="K105" s="9"/>
      <c r="L105" s="9">
        <f>L103</f>
        <v>445</v>
      </c>
      <c r="M105" s="9">
        <f t="shared" si="261"/>
        <v>445</v>
      </c>
      <c r="N105" s="9">
        <v>2</v>
      </c>
      <c r="O105" s="72">
        <f t="shared" si="262"/>
        <v>443</v>
      </c>
      <c r="P105" s="74">
        <f t="shared" si="263"/>
        <v>44.300000000000004</v>
      </c>
      <c r="Q105" s="9">
        <f t="shared" si="264"/>
        <v>44.300000000000004</v>
      </c>
      <c r="R105" s="27">
        <f t="shared" si="265"/>
        <v>70.88</v>
      </c>
      <c r="S105" s="27">
        <f t="shared" si="266"/>
        <v>19.846399999999999</v>
      </c>
      <c r="T105" s="27">
        <f t="shared" si="267"/>
        <v>26.367359999999998</v>
      </c>
      <c r="U105" s="29">
        <f t="shared" si="268"/>
        <v>263.67359999999996</v>
      </c>
      <c r="V105" s="27">
        <f t="shared" si="269"/>
        <v>237.30623999999997</v>
      </c>
      <c r="W105" s="28"/>
      <c r="X105" s="13">
        <f t="shared" si="270"/>
        <v>3.0000000000000027E-2</v>
      </c>
      <c r="Y105" s="17">
        <f t="shared" si="271"/>
        <v>0.97</v>
      </c>
      <c r="Z105" s="5">
        <f t="shared" si="272"/>
        <v>345.36705279999995</v>
      </c>
      <c r="AA105" s="17"/>
      <c r="AB105" s="5">
        <f t="shared" si="273"/>
        <v>0</v>
      </c>
      <c r="AC105" s="67"/>
      <c r="AD105" s="5"/>
      <c r="AE105" s="67"/>
      <c r="AF105" s="4">
        <f t="shared" si="274"/>
        <v>0</v>
      </c>
      <c r="AG105" s="67"/>
      <c r="AH105" s="44">
        <f t="shared" si="275"/>
        <v>0</v>
      </c>
      <c r="AI105" s="17"/>
      <c r="AJ105" s="44">
        <f t="shared" si="276"/>
        <v>0</v>
      </c>
      <c r="AK105" s="67"/>
      <c r="AL105" s="44">
        <f t="shared" si="277"/>
        <v>0</v>
      </c>
      <c r="AM105" s="67"/>
      <c r="AN105" s="4">
        <f t="shared" si="278"/>
        <v>0</v>
      </c>
      <c r="AO105" s="67"/>
      <c r="AP105" s="4">
        <f t="shared" si="279"/>
        <v>0</v>
      </c>
      <c r="AQ105" s="17"/>
      <c r="AR105" s="4">
        <f t="shared" si="280"/>
        <v>0</v>
      </c>
      <c r="AS105" s="67"/>
      <c r="AT105" s="4">
        <f t="shared" si="281"/>
        <v>0</v>
      </c>
      <c r="AU105" s="73">
        <f t="shared" si="282"/>
        <v>7.1191872000000052</v>
      </c>
    </row>
    <row r="106" spans="1:47" s="8" customFormat="1" x14ac:dyDescent="0.25">
      <c r="A106" s="21" t="s">
        <v>22</v>
      </c>
      <c r="B106" s="9">
        <f t="shared" si="258"/>
        <v>26.367359999999998</v>
      </c>
      <c r="C106" s="9"/>
      <c r="D106" s="9">
        <f t="shared" si="259"/>
        <v>0</v>
      </c>
      <c r="E106" s="10"/>
      <c r="F106" s="54" t="str">
        <f>F103</f>
        <v>Granit</v>
      </c>
      <c r="G106" s="27" t="s">
        <v>46</v>
      </c>
      <c r="H106" s="54" t="s">
        <v>58</v>
      </c>
      <c r="I106" s="9" t="s">
        <v>1</v>
      </c>
      <c r="J106" s="5">
        <f t="shared" si="260"/>
        <v>890</v>
      </c>
      <c r="K106" s="9"/>
      <c r="L106" s="9">
        <f>L103</f>
        <v>445</v>
      </c>
      <c r="M106" s="9">
        <f t="shared" si="261"/>
        <v>445</v>
      </c>
      <c r="N106" s="9">
        <v>2</v>
      </c>
      <c r="O106" s="72">
        <f t="shared" si="262"/>
        <v>443</v>
      </c>
      <c r="P106" s="74">
        <f t="shared" si="263"/>
        <v>44.300000000000004</v>
      </c>
      <c r="Q106" s="9">
        <f t="shared" si="264"/>
        <v>44.300000000000004</v>
      </c>
      <c r="R106" s="27">
        <f t="shared" si="265"/>
        <v>70.88</v>
      </c>
      <c r="S106" s="27">
        <f t="shared" si="266"/>
        <v>19.846399999999999</v>
      </c>
      <c r="T106" s="27">
        <f t="shared" si="267"/>
        <v>26.367359999999998</v>
      </c>
      <c r="U106" s="29">
        <f t="shared" si="268"/>
        <v>263.67359999999996</v>
      </c>
      <c r="V106" s="27">
        <f t="shared" si="269"/>
        <v>237.30623999999997</v>
      </c>
      <c r="W106" s="28"/>
      <c r="X106" s="13">
        <f t="shared" si="270"/>
        <v>3.0000000000000027E-2</v>
      </c>
      <c r="Y106" s="17">
        <f t="shared" si="271"/>
        <v>0.97</v>
      </c>
      <c r="Z106" s="5">
        <f t="shared" si="272"/>
        <v>345.36705279999995</v>
      </c>
      <c r="AA106" s="17"/>
      <c r="AB106" s="5">
        <f t="shared" si="273"/>
        <v>0</v>
      </c>
      <c r="AC106" s="67"/>
      <c r="AD106" s="5"/>
      <c r="AE106" s="67"/>
      <c r="AF106" s="4">
        <f t="shared" si="274"/>
        <v>0</v>
      </c>
      <c r="AG106" s="67"/>
      <c r="AH106" s="44">
        <f t="shared" si="275"/>
        <v>0</v>
      </c>
      <c r="AI106" s="17"/>
      <c r="AJ106" s="44">
        <f t="shared" si="276"/>
        <v>0</v>
      </c>
      <c r="AK106" s="67"/>
      <c r="AL106" s="44">
        <f t="shared" si="277"/>
        <v>0</v>
      </c>
      <c r="AM106" s="67"/>
      <c r="AN106" s="4">
        <f t="shared" si="278"/>
        <v>0</v>
      </c>
      <c r="AO106" s="67"/>
      <c r="AP106" s="4">
        <f t="shared" si="279"/>
        <v>0</v>
      </c>
      <c r="AQ106" s="17"/>
      <c r="AR106" s="4">
        <f t="shared" si="280"/>
        <v>0</v>
      </c>
      <c r="AS106" s="67"/>
      <c r="AT106" s="4">
        <f t="shared" si="281"/>
        <v>0</v>
      </c>
      <c r="AU106" s="73">
        <f t="shared" si="282"/>
        <v>7.1191872000000052</v>
      </c>
    </row>
    <row r="107" spans="1:47" s="8" customFormat="1" x14ac:dyDescent="0.25">
      <c r="A107" s="21" t="s">
        <v>22</v>
      </c>
      <c r="B107" s="9">
        <f t="shared" si="258"/>
        <v>26.367359999999998</v>
      </c>
      <c r="C107" s="9"/>
      <c r="D107" s="9">
        <f t="shared" si="259"/>
        <v>0</v>
      </c>
      <c r="E107" s="10"/>
      <c r="F107" s="54" t="str">
        <f>F103</f>
        <v>Granit</v>
      </c>
      <c r="G107" s="27" t="s">
        <v>46</v>
      </c>
      <c r="H107" s="54" t="s">
        <v>59</v>
      </c>
      <c r="I107" s="9" t="s">
        <v>2</v>
      </c>
      <c r="J107" s="5">
        <f t="shared" si="260"/>
        <v>890</v>
      </c>
      <c r="K107" s="9"/>
      <c r="L107" s="9">
        <f>L103</f>
        <v>445</v>
      </c>
      <c r="M107" s="9">
        <f t="shared" si="261"/>
        <v>445</v>
      </c>
      <c r="N107" s="9">
        <v>2</v>
      </c>
      <c r="O107" s="72">
        <f t="shared" si="262"/>
        <v>443</v>
      </c>
      <c r="P107" s="74">
        <f t="shared" si="263"/>
        <v>44.300000000000004</v>
      </c>
      <c r="Q107" s="9">
        <f t="shared" si="264"/>
        <v>44.300000000000004</v>
      </c>
      <c r="R107" s="27">
        <f t="shared" si="265"/>
        <v>70.88</v>
      </c>
      <c r="S107" s="27">
        <f t="shared" si="266"/>
        <v>19.846399999999999</v>
      </c>
      <c r="T107" s="27">
        <f t="shared" si="267"/>
        <v>26.367359999999998</v>
      </c>
      <c r="U107" s="29">
        <f t="shared" si="268"/>
        <v>263.67359999999996</v>
      </c>
      <c r="V107" s="27">
        <f t="shared" si="269"/>
        <v>237.30623999999997</v>
      </c>
      <c r="W107" s="28"/>
      <c r="X107" s="13">
        <f>100%-Y107-AA107-AC107-AE107-AG107-AI107-AK107-AM107-AO107-AQ107</f>
        <v>3.0000000000000027E-2</v>
      </c>
      <c r="Y107" s="17">
        <f t="shared" si="271"/>
        <v>0.97</v>
      </c>
      <c r="Z107" s="5">
        <f t="shared" si="272"/>
        <v>345.36705279999995</v>
      </c>
      <c r="AA107" s="17"/>
      <c r="AB107" s="5">
        <f t="shared" si="273"/>
        <v>0</v>
      </c>
      <c r="AC107" s="67"/>
      <c r="AD107" s="5"/>
      <c r="AE107" s="67"/>
      <c r="AF107" s="4">
        <f t="shared" si="274"/>
        <v>0</v>
      </c>
      <c r="AG107" s="67"/>
      <c r="AH107" s="44">
        <f t="shared" si="275"/>
        <v>0</v>
      </c>
      <c r="AI107" s="17"/>
      <c r="AJ107" s="44">
        <f t="shared" si="276"/>
        <v>0</v>
      </c>
      <c r="AK107" s="67"/>
      <c r="AL107" s="44">
        <f t="shared" si="277"/>
        <v>0</v>
      </c>
      <c r="AM107" s="67"/>
      <c r="AN107" s="4">
        <f t="shared" si="278"/>
        <v>0</v>
      </c>
      <c r="AO107" s="67"/>
      <c r="AP107" s="4">
        <f t="shared" si="279"/>
        <v>0</v>
      </c>
      <c r="AQ107" s="17"/>
      <c r="AR107" s="4">
        <f t="shared" si="280"/>
        <v>0</v>
      </c>
      <c r="AS107" s="67"/>
      <c r="AT107" s="4">
        <f t="shared" si="281"/>
        <v>0</v>
      </c>
      <c r="AU107" s="73">
        <f t="shared" si="282"/>
        <v>7.1191872000000052</v>
      </c>
    </row>
    <row r="108" spans="1:47" s="8" customFormat="1" x14ac:dyDescent="0.25">
      <c r="A108" s="21"/>
      <c r="B108" s="9">
        <f t="shared" si="258"/>
        <v>0</v>
      </c>
      <c r="C108" s="9"/>
      <c r="D108" s="9">
        <f t="shared" si="259"/>
        <v>0</v>
      </c>
      <c r="E108" s="10"/>
      <c r="F108" s="54" t="str">
        <f>F103</f>
        <v>Granit</v>
      </c>
      <c r="G108" s="27" t="s">
        <v>46</v>
      </c>
      <c r="H108" s="54" t="s">
        <v>60</v>
      </c>
      <c r="I108" s="9" t="s">
        <v>6</v>
      </c>
      <c r="J108" s="5">
        <f t="shared" si="260"/>
        <v>890</v>
      </c>
      <c r="K108" s="9"/>
      <c r="L108" s="9">
        <f>L103</f>
        <v>445</v>
      </c>
      <c r="M108" s="9">
        <f t="shared" si="261"/>
        <v>445</v>
      </c>
      <c r="N108" s="9"/>
      <c r="O108" s="72">
        <f t="shared" si="262"/>
        <v>445</v>
      </c>
      <c r="P108" s="74">
        <f t="shared" si="263"/>
        <v>44.5</v>
      </c>
      <c r="Q108" s="9">
        <f t="shared" si="264"/>
        <v>44.5</v>
      </c>
      <c r="R108" s="27">
        <f t="shared" si="265"/>
        <v>71.2</v>
      </c>
      <c r="S108" s="27">
        <f t="shared" si="266"/>
        <v>19.936000000000003</v>
      </c>
      <c r="T108" s="27">
        <f t="shared" si="267"/>
        <v>26.486400000000003</v>
      </c>
      <c r="U108" s="29">
        <f t="shared" si="268"/>
        <v>264.86400000000003</v>
      </c>
      <c r="V108" s="27">
        <f t="shared" si="269"/>
        <v>264.86400000000003</v>
      </c>
      <c r="W108" s="28"/>
      <c r="X108" s="13">
        <f t="shared" ref="X108:X110" si="283">100%-Y108-AA108-AC108-AE108-AG108-AI108-AK108-AM108-AO108-AQ108</f>
        <v>3.0000000000000027E-2</v>
      </c>
      <c r="Y108" s="17">
        <f t="shared" si="271"/>
        <v>0.97</v>
      </c>
      <c r="Z108" s="5">
        <f t="shared" si="272"/>
        <v>372.61808000000002</v>
      </c>
      <c r="AA108" s="17"/>
      <c r="AB108" s="5">
        <f t="shared" si="273"/>
        <v>0</v>
      </c>
      <c r="AC108" s="67"/>
      <c r="AD108" s="5"/>
      <c r="AE108" s="67"/>
      <c r="AF108" s="4">
        <f t="shared" si="274"/>
        <v>0</v>
      </c>
      <c r="AG108" s="67"/>
      <c r="AH108" s="44">
        <f t="shared" si="275"/>
        <v>0</v>
      </c>
      <c r="AI108" s="17"/>
      <c r="AJ108" s="44">
        <f t="shared" si="276"/>
        <v>0</v>
      </c>
      <c r="AK108" s="67"/>
      <c r="AL108" s="44">
        <f t="shared" si="277"/>
        <v>0</v>
      </c>
      <c r="AM108" s="67"/>
      <c r="AN108" s="4">
        <f t="shared" si="278"/>
        <v>0</v>
      </c>
      <c r="AO108" s="67"/>
      <c r="AP108" s="4">
        <f t="shared" si="279"/>
        <v>0</v>
      </c>
      <c r="AQ108" s="17"/>
      <c r="AR108" s="4">
        <f t="shared" si="280"/>
        <v>0</v>
      </c>
      <c r="AS108" s="67"/>
      <c r="AT108" s="4">
        <f t="shared" si="281"/>
        <v>0</v>
      </c>
      <c r="AU108" s="73">
        <f t="shared" si="282"/>
        <v>7.9459200000000081</v>
      </c>
    </row>
    <row r="109" spans="1:47" s="8" customFormat="1" x14ac:dyDescent="0.25">
      <c r="A109" s="21"/>
      <c r="B109" s="9">
        <f t="shared" si="258"/>
        <v>0</v>
      </c>
      <c r="C109" s="9"/>
      <c r="D109" s="9">
        <f t="shared" si="259"/>
        <v>0</v>
      </c>
      <c r="E109" s="10"/>
      <c r="F109" s="54" t="str">
        <f>F103</f>
        <v>Granit</v>
      </c>
      <c r="G109" s="27" t="s">
        <v>46</v>
      </c>
      <c r="H109" s="54" t="s">
        <v>61</v>
      </c>
      <c r="I109" s="9" t="s">
        <v>7</v>
      </c>
      <c r="J109" s="5">
        <f t="shared" si="260"/>
        <v>890</v>
      </c>
      <c r="K109" s="9"/>
      <c r="L109" s="9">
        <f>L103</f>
        <v>445</v>
      </c>
      <c r="M109" s="9">
        <f t="shared" si="261"/>
        <v>445</v>
      </c>
      <c r="N109" s="9">
        <v>0</v>
      </c>
      <c r="O109" s="72">
        <f t="shared" si="262"/>
        <v>445</v>
      </c>
      <c r="P109" s="74">
        <f t="shared" si="263"/>
        <v>44.5</v>
      </c>
      <c r="Q109" s="9"/>
      <c r="R109" s="27">
        <f t="shared" si="265"/>
        <v>80.100000000000009</v>
      </c>
      <c r="S109" s="27">
        <f t="shared" si="266"/>
        <v>22.428000000000001</v>
      </c>
      <c r="T109" s="27">
        <f t="shared" si="267"/>
        <v>29.7972</v>
      </c>
      <c r="U109" s="29">
        <f t="shared" si="268"/>
        <v>297.97199999999998</v>
      </c>
      <c r="V109" s="27">
        <f t="shared" si="269"/>
        <v>297.97199999999998</v>
      </c>
      <c r="W109" s="28"/>
      <c r="X109" s="13">
        <f t="shared" si="283"/>
        <v>3.0000000000000027E-2</v>
      </c>
      <c r="Y109" s="17">
        <f t="shared" si="271"/>
        <v>0.97</v>
      </c>
      <c r="Z109" s="5">
        <f t="shared" si="272"/>
        <v>369.13283999999999</v>
      </c>
      <c r="AA109" s="17"/>
      <c r="AB109" s="5">
        <f t="shared" si="273"/>
        <v>0</v>
      </c>
      <c r="AC109" s="67"/>
      <c r="AD109" s="5"/>
      <c r="AE109" s="67"/>
      <c r="AF109" s="4">
        <f t="shared" si="274"/>
        <v>0</v>
      </c>
      <c r="AG109" s="67"/>
      <c r="AH109" s="44">
        <f t="shared" si="275"/>
        <v>0</v>
      </c>
      <c r="AI109" s="17"/>
      <c r="AJ109" s="44">
        <f t="shared" si="276"/>
        <v>0</v>
      </c>
      <c r="AK109" s="67"/>
      <c r="AL109" s="44">
        <f t="shared" si="277"/>
        <v>0</v>
      </c>
      <c r="AM109" s="67"/>
      <c r="AN109" s="4">
        <f t="shared" si="278"/>
        <v>0</v>
      </c>
      <c r="AO109" s="67"/>
      <c r="AP109" s="4">
        <f t="shared" si="279"/>
        <v>0</v>
      </c>
      <c r="AQ109" s="17"/>
      <c r="AR109" s="4">
        <f t="shared" si="280"/>
        <v>0</v>
      </c>
      <c r="AS109" s="67"/>
      <c r="AT109" s="4">
        <f t="shared" si="281"/>
        <v>0</v>
      </c>
      <c r="AU109" s="73">
        <f t="shared" si="282"/>
        <v>8.9391600000000082</v>
      </c>
    </row>
    <row r="110" spans="1:47" s="8" customFormat="1" x14ac:dyDescent="0.25">
      <c r="A110" s="21"/>
      <c r="B110" s="9">
        <f t="shared" si="258"/>
        <v>0</v>
      </c>
      <c r="C110" s="9"/>
      <c r="D110" s="9">
        <f t="shared" si="259"/>
        <v>0</v>
      </c>
      <c r="E110" s="10"/>
      <c r="F110" s="54" t="str">
        <f>F103</f>
        <v>Granit</v>
      </c>
      <c r="G110" s="27" t="s">
        <v>46</v>
      </c>
      <c r="H110" s="54" t="s">
        <v>62</v>
      </c>
      <c r="I110" s="9" t="s">
        <v>8</v>
      </c>
      <c r="J110" s="5">
        <f t="shared" si="260"/>
        <v>890</v>
      </c>
      <c r="K110" s="9"/>
      <c r="L110" s="9">
        <f>L103</f>
        <v>445</v>
      </c>
      <c r="M110" s="9">
        <f t="shared" si="261"/>
        <v>445</v>
      </c>
      <c r="N110" s="9">
        <v>0</v>
      </c>
      <c r="O110" s="72">
        <f t="shared" si="262"/>
        <v>445</v>
      </c>
      <c r="P110" s="74">
        <f t="shared" si="263"/>
        <v>44.5</v>
      </c>
      <c r="Q110" s="9"/>
      <c r="R110" s="27"/>
      <c r="S110" s="27">
        <f t="shared" si="266"/>
        <v>28.035000000000004</v>
      </c>
      <c r="T110" s="27">
        <f t="shared" si="267"/>
        <v>37.246499999999997</v>
      </c>
      <c r="U110" s="29">
        <f t="shared" si="268"/>
        <v>372.46499999999997</v>
      </c>
      <c r="V110" s="27">
        <f t="shared" si="269"/>
        <v>372.46499999999997</v>
      </c>
      <c r="W110" s="28"/>
      <c r="X110" s="13">
        <f t="shared" si="283"/>
        <v>3.0000000000000068E-2</v>
      </c>
      <c r="Y110" s="17">
        <f t="shared" si="271"/>
        <v>0.91999999999999993</v>
      </c>
      <c r="Z110" s="5">
        <f t="shared" si="272"/>
        <v>342.66779999999994</v>
      </c>
      <c r="AA110" s="17">
        <v>0.05</v>
      </c>
      <c r="AB110" s="5">
        <f t="shared" si="273"/>
        <v>18.623249999999999</v>
      </c>
      <c r="AC110" s="67"/>
      <c r="AD110" s="5"/>
      <c r="AE110" s="67"/>
      <c r="AF110" s="4">
        <f t="shared" si="274"/>
        <v>0</v>
      </c>
      <c r="AG110" s="67"/>
      <c r="AH110" s="44">
        <f t="shared" si="275"/>
        <v>0</v>
      </c>
      <c r="AI110" s="17"/>
      <c r="AJ110" s="44">
        <f t="shared" si="276"/>
        <v>0</v>
      </c>
      <c r="AK110" s="67"/>
      <c r="AL110" s="44">
        <f t="shared" si="277"/>
        <v>0</v>
      </c>
      <c r="AM110" s="67"/>
      <c r="AN110" s="4">
        <f t="shared" si="278"/>
        <v>0</v>
      </c>
      <c r="AO110" s="67"/>
      <c r="AP110" s="4">
        <f t="shared" si="279"/>
        <v>0</v>
      </c>
      <c r="AQ110" s="17"/>
      <c r="AR110" s="4">
        <f t="shared" si="280"/>
        <v>0</v>
      </c>
      <c r="AS110" s="67"/>
      <c r="AT110" s="4">
        <f t="shared" si="281"/>
        <v>0</v>
      </c>
      <c r="AU110" s="73">
        <f t="shared" si="282"/>
        <v>11.173950000000024</v>
      </c>
    </row>
    <row r="111" spans="1:47" s="8" customFormat="1" x14ac:dyDescent="0.25">
      <c r="A111" s="21"/>
      <c r="B111" s="9">
        <f t="shared" si="258"/>
        <v>0</v>
      </c>
      <c r="C111" s="9"/>
      <c r="D111" s="9">
        <f t="shared" si="259"/>
        <v>0</v>
      </c>
      <c r="E111" s="10"/>
      <c r="F111" s="54" t="str">
        <f>F103</f>
        <v>Granit</v>
      </c>
      <c r="G111" s="27" t="s">
        <v>46</v>
      </c>
      <c r="H111" s="54" t="s">
        <v>63</v>
      </c>
      <c r="I111" s="9" t="s">
        <v>9</v>
      </c>
      <c r="J111" s="5">
        <f t="shared" si="260"/>
        <v>890</v>
      </c>
      <c r="K111" s="9"/>
      <c r="L111" s="9">
        <f>L103</f>
        <v>445</v>
      </c>
      <c r="M111" s="9">
        <f t="shared" si="261"/>
        <v>445</v>
      </c>
      <c r="N111" s="9"/>
      <c r="O111" s="72">
        <f t="shared" si="262"/>
        <v>445</v>
      </c>
      <c r="P111" s="74">
        <f t="shared" ref="P111" si="284">(M111-N111)*15%</f>
        <v>66.75</v>
      </c>
      <c r="Q111" s="9"/>
      <c r="R111" s="27"/>
      <c r="S111" s="27">
        <f t="shared" si="266"/>
        <v>26.477500000000003</v>
      </c>
      <c r="T111" s="27"/>
      <c r="U111" s="29">
        <f t="shared" si="268"/>
        <v>351.77249999999998</v>
      </c>
      <c r="V111" s="27">
        <f t="shared" si="269"/>
        <v>351.77249999999998</v>
      </c>
      <c r="W111" s="28"/>
      <c r="X111" s="13">
        <f>100%-Y111-AA111-AC111-AE111-AG111-AI111-AK111-AM111-AO111-AQ111</f>
        <v>3.0000000000000068E-2</v>
      </c>
      <c r="Y111" s="17">
        <f t="shared" si="271"/>
        <v>0.91999999999999993</v>
      </c>
      <c r="Z111" s="5">
        <f t="shared" si="272"/>
        <v>323.63069999999993</v>
      </c>
      <c r="AA111" s="17">
        <v>0.05</v>
      </c>
      <c r="AB111" s="5">
        <f t="shared" si="273"/>
        <v>17.588625</v>
      </c>
      <c r="AC111" s="67"/>
      <c r="AD111" s="5"/>
      <c r="AE111" s="67"/>
      <c r="AF111" s="4">
        <f t="shared" si="274"/>
        <v>0</v>
      </c>
      <c r="AG111" s="67"/>
      <c r="AH111" s="44">
        <f t="shared" si="275"/>
        <v>0</v>
      </c>
      <c r="AI111" s="17"/>
      <c r="AJ111" s="44">
        <f t="shared" si="276"/>
        <v>0</v>
      </c>
      <c r="AK111" s="67"/>
      <c r="AL111" s="44">
        <f t="shared" si="277"/>
        <v>0</v>
      </c>
      <c r="AM111" s="67"/>
      <c r="AN111" s="4">
        <f t="shared" si="278"/>
        <v>0</v>
      </c>
      <c r="AO111" s="67"/>
      <c r="AP111" s="4">
        <f t="shared" si="279"/>
        <v>0</v>
      </c>
      <c r="AQ111" s="17"/>
      <c r="AR111" s="4">
        <f t="shared" si="280"/>
        <v>0</v>
      </c>
      <c r="AS111" s="67"/>
      <c r="AT111" s="4">
        <f t="shared" si="281"/>
        <v>0</v>
      </c>
      <c r="AU111" s="73">
        <f t="shared" si="282"/>
        <v>10.553175000000023</v>
      </c>
    </row>
    <row r="112" spans="1:47" s="8" customFormat="1" x14ac:dyDescent="0.25">
      <c r="A112" s="21"/>
      <c r="B112" s="9"/>
      <c r="C112" s="9"/>
      <c r="D112" s="9"/>
      <c r="E112" s="10"/>
      <c r="F112" s="54" t="str">
        <f>F103</f>
        <v>Granit</v>
      </c>
      <c r="G112" s="27" t="s">
        <v>46</v>
      </c>
      <c r="H112" s="54" t="s">
        <v>64</v>
      </c>
      <c r="I112" s="9" t="s">
        <v>10</v>
      </c>
      <c r="J112" s="9">
        <f t="shared" si="260"/>
        <v>890</v>
      </c>
      <c r="K112" s="5"/>
      <c r="L112" s="9">
        <f>L103</f>
        <v>445</v>
      </c>
      <c r="M112" s="9">
        <f t="shared" si="261"/>
        <v>445</v>
      </c>
      <c r="N112" s="5"/>
      <c r="O112" s="72">
        <f t="shared" si="262"/>
        <v>445</v>
      </c>
      <c r="P112" s="74">
        <f t="shared" ref="P112:P114" si="285">(M112-N112)*5%</f>
        <v>22.25</v>
      </c>
      <c r="Q112" s="9"/>
      <c r="R112" s="27"/>
      <c r="S112" s="27">
        <f t="shared" ref="S112:S114" si="286">(O112-P112)*7%</f>
        <v>29.592500000000001</v>
      </c>
      <c r="T112" s="27"/>
      <c r="U112" s="29">
        <f t="shared" si="268"/>
        <v>393.15750000000003</v>
      </c>
      <c r="V112" s="27">
        <f t="shared" si="269"/>
        <v>393.15750000000003</v>
      </c>
      <c r="W112" s="28"/>
      <c r="X112" s="13">
        <f t="shared" ref="X112:X114" si="287">100%-Y112-AA112-AC112-AE112-AG112-AI112-AK112-AM112-AO112-AQ112</f>
        <v>9.9999999999999811E-3</v>
      </c>
      <c r="Y112" s="17">
        <f t="shared" ref="Y112:Y114" si="288">(99%-AA112-AC112-AE112-AG112-AI112-AK112-AM112-AO112-AQ112)</f>
        <v>0.78</v>
      </c>
      <c r="Z112" s="9">
        <f t="shared" si="272"/>
        <v>306.66285000000005</v>
      </c>
      <c r="AA112" s="17">
        <v>0.15</v>
      </c>
      <c r="AB112" s="5">
        <f t="shared" si="273"/>
        <v>58.973624999999998</v>
      </c>
      <c r="AC112" s="17">
        <v>0.06</v>
      </c>
      <c r="AD112" s="9">
        <f t="shared" ref="AD112:AD114" si="289">V112*AC112</f>
        <v>23.589449999999999</v>
      </c>
      <c r="AE112" s="67"/>
      <c r="AF112" s="4">
        <f t="shared" si="274"/>
        <v>0</v>
      </c>
      <c r="AG112" s="67"/>
      <c r="AH112" s="57">
        <f t="shared" si="275"/>
        <v>0</v>
      </c>
      <c r="AI112" s="17"/>
      <c r="AJ112" s="57">
        <f t="shared" si="276"/>
        <v>0</v>
      </c>
      <c r="AK112" s="67"/>
      <c r="AL112" s="57">
        <f t="shared" si="277"/>
        <v>0</v>
      </c>
      <c r="AM112" s="67"/>
      <c r="AN112" s="9">
        <f t="shared" si="278"/>
        <v>0</v>
      </c>
      <c r="AO112" s="67"/>
      <c r="AP112" s="10">
        <f t="shared" si="279"/>
        <v>0</v>
      </c>
      <c r="AQ112" s="17"/>
      <c r="AR112" s="10">
        <f t="shared" si="280"/>
        <v>0</v>
      </c>
      <c r="AS112" s="67"/>
      <c r="AT112" s="10">
        <f t="shared" si="281"/>
        <v>0</v>
      </c>
      <c r="AU112" s="73">
        <f t="shared" si="282"/>
        <v>3.9315749999999929</v>
      </c>
    </row>
    <row r="113" spans="1:47" s="8" customFormat="1" x14ac:dyDescent="0.25">
      <c r="A113" s="21"/>
      <c r="B113" s="9">
        <f t="shared" si="258"/>
        <v>0</v>
      </c>
      <c r="C113" s="9"/>
      <c r="D113" s="9">
        <f t="shared" si="259"/>
        <v>0</v>
      </c>
      <c r="E113" s="10"/>
      <c r="F113" s="54" t="str">
        <f>F103</f>
        <v>Granit</v>
      </c>
      <c r="G113" s="27" t="s">
        <v>46</v>
      </c>
      <c r="H113" s="54" t="s">
        <v>65</v>
      </c>
      <c r="I113" s="9" t="s">
        <v>11</v>
      </c>
      <c r="J113" s="5">
        <f t="shared" si="260"/>
        <v>890</v>
      </c>
      <c r="K113" s="9"/>
      <c r="L113" s="9">
        <f>L103</f>
        <v>445</v>
      </c>
      <c r="M113" s="9"/>
      <c r="N113" s="9">
        <v>0</v>
      </c>
      <c r="O113" s="72">
        <f t="shared" si="262"/>
        <v>0</v>
      </c>
      <c r="P113" s="74">
        <f t="shared" si="285"/>
        <v>0</v>
      </c>
      <c r="Q113" s="9"/>
      <c r="R113" s="27"/>
      <c r="S113" s="27">
        <f t="shared" si="286"/>
        <v>0</v>
      </c>
      <c r="T113" s="27"/>
      <c r="U113" s="29">
        <f t="shared" si="268"/>
        <v>0</v>
      </c>
      <c r="V113" s="27">
        <f t="shared" si="269"/>
        <v>0</v>
      </c>
      <c r="W113" s="28"/>
      <c r="X113" s="13">
        <f t="shared" si="287"/>
        <v>9.9999999999999811E-3</v>
      </c>
      <c r="Y113" s="17">
        <f t="shared" si="288"/>
        <v>0.78</v>
      </c>
      <c r="Z113" s="9">
        <f t="shared" si="272"/>
        <v>0</v>
      </c>
      <c r="AA113" s="17">
        <v>0.15</v>
      </c>
      <c r="AB113" s="5">
        <f t="shared" si="273"/>
        <v>0</v>
      </c>
      <c r="AC113" s="17">
        <v>0.06</v>
      </c>
      <c r="AD113" s="9">
        <f t="shared" si="289"/>
        <v>0</v>
      </c>
      <c r="AE113" s="17"/>
      <c r="AF113" s="4">
        <f t="shared" si="274"/>
        <v>0</v>
      </c>
      <c r="AG113" s="17"/>
      <c r="AH113" s="44">
        <f t="shared" si="275"/>
        <v>0</v>
      </c>
      <c r="AI113" s="17"/>
      <c r="AJ113" s="44">
        <f t="shared" si="276"/>
        <v>0</v>
      </c>
      <c r="AK113" s="17"/>
      <c r="AL113" s="44">
        <f t="shared" si="277"/>
        <v>0</v>
      </c>
      <c r="AM113" s="17"/>
      <c r="AN113" s="5">
        <f t="shared" si="278"/>
        <v>0</v>
      </c>
      <c r="AO113" s="17"/>
      <c r="AP113" s="4">
        <f t="shared" si="279"/>
        <v>0</v>
      </c>
      <c r="AQ113" s="17"/>
      <c r="AR113" s="4">
        <f t="shared" si="280"/>
        <v>0</v>
      </c>
      <c r="AS113" s="17"/>
      <c r="AT113" s="4">
        <f t="shared" si="281"/>
        <v>0</v>
      </c>
      <c r="AU113" s="73">
        <f t="shared" si="282"/>
        <v>0</v>
      </c>
    </row>
    <row r="114" spans="1:47" s="8" customFormat="1" x14ac:dyDescent="0.25">
      <c r="A114" s="21"/>
      <c r="B114" s="9">
        <f t="shared" si="258"/>
        <v>0</v>
      </c>
      <c r="C114" s="9"/>
      <c r="D114" s="9">
        <f t="shared" si="259"/>
        <v>0</v>
      </c>
      <c r="E114" s="10"/>
      <c r="F114" s="54" t="str">
        <f>F103</f>
        <v>Granit</v>
      </c>
      <c r="G114" s="27" t="s">
        <v>46</v>
      </c>
      <c r="H114" s="54" t="s">
        <v>66</v>
      </c>
      <c r="I114" s="9" t="s">
        <v>12</v>
      </c>
      <c r="J114" s="5">
        <f t="shared" si="260"/>
        <v>890</v>
      </c>
      <c r="K114" s="9"/>
      <c r="L114" s="9">
        <f>L103</f>
        <v>445</v>
      </c>
      <c r="M114" s="9"/>
      <c r="N114" s="9">
        <v>0</v>
      </c>
      <c r="O114" s="72">
        <f t="shared" si="262"/>
        <v>0</v>
      </c>
      <c r="P114" s="74">
        <f t="shared" si="285"/>
        <v>0</v>
      </c>
      <c r="Q114" s="9"/>
      <c r="R114" s="27"/>
      <c r="S114" s="27">
        <f t="shared" si="286"/>
        <v>0</v>
      </c>
      <c r="T114" s="27"/>
      <c r="U114" s="29">
        <f t="shared" si="268"/>
        <v>0</v>
      </c>
      <c r="V114" s="27">
        <f t="shared" si="269"/>
        <v>0</v>
      </c>
      <c r="W114" s="28"/>
      <c r="X114" s="13">
        <f t="shared" si="287"/>
        <v>9.9999999999999811E-3</v>
      </c>
      <c r="Y114" s="17">
        <f t="shared" si="288"/>
        <v>0.78</v>
      </c>
      <c r="Z114" s="9">
        <f t="shared" si="272"/>
        <v>0</v>
      </c>
      <c r="AA114" s="17">
        <v>0.15</v>
      </c>
      <c r="AB114" s="5">
        <f t="shared" si="273"/>
        <v>0</v>
      </c>
      <c r="AC114" s="17">
        <v>0.06</v>
      </c>
      <c r="AD114" s="9">
        <f t="shared" si="289"/>
        <v>0</v>
      </c>
      <c r="AE114" s="17"/>
      <c r="AF114" s="4">
        <f t="shared" si="274"/>
        <v>0</v>
      </c>
      <c r="AG114" s="17"/>
      <c r="AH114" s="44">
        <f t="shared" si="275"/>
        <v>0</v>
      </c>
      <c r="AI114" s="17"/>
      <c r="AJ114" s="44">
        <f t="shared" si="276"/>
        <v>0</v>
      </c>
      <c r="AK114" s="17"/>
      <c r="AL114" s="44">
        <f t="shared" si="277"/>
        <v>0</v>
      </c>
      <c r="AM114" s="17"/>
      <c r="AN114" s="5">
        <f t="shared" si="278"/>
        <v>0</v>
      </c>
      <c r="AO114" s="17"/>
      <c r="AP114" s="4">
        <f t="shared" si="279"/>
        <v>0</v>
      </c>
      <c r="AQ114" s="17"/>
      <c r="AR114" s="4">
        <f t="shared" si="280"/>
        <v>0</v>
      </c>
      <c r="AS114" s="17"/>
      <c r="AT114" s="4">
        <f t="shared" si="281"/>
        <v>0</v>
      </c>
      <c r="AU114" s="73">
        <f t="shared" si="282"/>
        <v>0</v>
      </c>
    </row>
    <row r="115" spans="1:47" x14ac:dyDescent="0.25">
      <c r="A115" s="9"/>
      <c r="C115" s="9"/>
      <c r="D115" s="9"/>
      <c r="E115" s="9"/>
      <c r="F115" s="8"/>
      <c r="G115" s="8"/>
      <c r="H115" s="8"/>
      <c r="I115" s="9"/>
      <c r="J115" s="9"/>
      <c r="K115" s="9"/>
      <c r="L115" s="9"/>
      <c r="N115" s="9"/>
      <c r="O115" s="9"/>
      <c r="P115" s="9"/>
      <c r="Q115" s="9"/>
      <c r="R115" s="14"/>
      <c r="S115" s="10"/>
      <c r="T115" s="10"/>
      <c r="U115" s="16"/>
      <c r="V115" s="10"/>
      <c r="W115" s="16"/>
      <c r="X115" s="16"/>
      <c r="Y115" s="17"/>
      <c r="Z115" s="10"/>
      <c r="AA115" s="128"/>
      <c r="AB115" s="69"/>
      <c r="AC115" s="67"/>
      <c r="AD115" s="10"/>
      <c r="AE115" s="67"/>
      <c r="AF115" s="10"/>
      <c r="AG115" s="67"/>
      <c r="AI115" s="17"/>
      <c r="AK115" s="67"/>
      <c r="AM115" s="67"/>
      <c r="AN115" s="15"/>
      <c r="AO115" s="84"/>
      <c r="AP115" s="15"/>
      <c r="AQ115" s="17"/>
      <c r="AR115" s="10"/>
      <c r="AS115" s="67"/>
      <c r="AT115" s="10"/>
    </row>
    <row r="116" spans="1:47" s="8" customFormat="1" x14ac:dyDescent="0.25">
      <c r="A116" s="21"/>
      <c r="B116" s="9"/>
      <c r="C116" s="9"/>
      <c r="D116" s="9"/>
      <c r="E116" s="10"/>
      <c r="F116" s="54" t="s">
        <v>28</v>
      </c>
      <c r="G116" s="27" t="s">
        <v>46</v>
      </c>
      <c r="H116" s="54" t="s">
        <v>55</v>
      </c>
      <c r="I116" s="9" t="s">
        <v>10</v>
      </c>
      <c r="J116" s="9">
        <f t="shared" ref="J116:J121" si="290">L116*2</f>
        <v>1446</v>
      </c>
      <c r="K116" s="5"/>
      <c r="L116" s="9">
        <v>723</v>
      </c>
      <c r="M116" s="9">
        <f>L116</f>
        <v>723</v>
      </c>
      <c r="N116" s="5"/>
      <c r="O116" s="72">
        <f t="shared" ref="O116:O121" si="291">M116-N116</f>
        <v>723</v>
      </c>
      <c r="P116" s="74">
        <f t="shared" ref="P116:P127" si="292">(M116-N116)*5%</f>
        <v>36.15</v>
      </c>
      <c r="Q116" s="9"/>
      <c r="R116" s="27"/>
      <c r="S116" s="27">
        <f t="shared" ref="S116:S127" si="293">(O116-P116)*7%</f>
        <v>48.079500000000003</v>
      </c>
      <c r="T116" s="27"/>
      <c r="U116" s="29">
        <f t="shared" ref="U116:U121" si="294">M116-N116-P116-Q116-R116-S116</f>
        <v>638.77049999999997</v>
      </c>
      <c r="V116" s="27">
        <f t="shared" ref="V116:V121" si="295">U116-B116-D116</f>
        <v>638.77049999999997</v>
      </c>
      <c r="W116" s="28"/>
      <c r="X116" s="13">
        <f t="shared" ref="X116:X121" si="296">100%-Y116-AA116-AC116-AE116-AG116-AI116-AK116-AM116-AO116-AQ116</f>
        <v>1.0000000000000009E-2</v>
      </c>
      <c r="Y116" s="17">
        <f t="shared" ref="Y116:Y127" si="297">(99%-AA116-AC116-AE116-AG116-AI116-AK116-AM116-AO116-AQ116)</f>
        <v>0.99</v>
      </c>
      <c r="Z116" s="9">
        <f t="shared" ref="Z116:Z127" si="298">(V116*Y116)+Q116+R116</f>
        <v>632.38279499999999</v>
      </c>
      <c r="AA116" s="17"/>
      <c r="AB116" s="5">
        <f t="shared" ref="AB116:AB127" si="299">(V116*AA116)</f>
        <v>0</v>
      </c>
      <c r="AC116" s="17"/>
      <c r="AD116" s="9">
        <f t="shared" ref="AD116:AD127" si="300">V116*AC116</f>
        <v>0</v>
      </c>
      <c r="AE116" s="67"/>
      <c r="AF116" s="4">
        <f t="shared" ref="AF116:AF117" si="301">V116*AE116</f>
        <v>0</v>
      </c>
      <c r="AG116" s="67"/>
      <c r="AH116" s="57">
        <f t="shared" ref="AH116:AH117" si="302">V116*AG116</f>
        <v>0</v>
      </c>
      <c r="AI116" s="17"/>
      <c r="AJ116" s="57">
        <f t="shared" ref="AJ116:AJ117" si="303">V116*AI116</f>
        <v>0</v>
      </c>
      <c r="AK116" s="67"/>
      <c r="AL116" s="57">
        <f t="shared" ref="AL116:AL121" si="304">V116*AK116</f>
        <v>0</v>
      </c>
      <c r="AM116" s="67"/>
      <c r="AN116" s="9">
        <f t="shared" ref="AN116:AN121" si="305">V116*AM116</f>
        <v>0</v>
      </c>
      <c r="AO116" s="67"/>
      <c r="AP116" s="10">
        <f t="shared" ref="AP116:AP121" si="306">V116*AO116</f>
        <v>0</v>
      </c>
      <c r="AQ116" s="17"/>
      <c r="AR116" s="10">
        <f t="shared" ref="AR116:AR121" si="307">V116*AQ116</f>
        <v>0</v>
      </c>
      <c r="AS116" s="67"/>
      <c r="AT116" s="10">
        <f t="shared" ref="AT116:AT127" si="308">X116*AS116</f>
        <v>0</v>
      </c>
      <c r="AU116" s="73">
        <f t="shared" ref="AU116:AU121" si="309">V116*X116</f>
        <v>6.3877050000000057</v>
      </c>
    </row>
    <row r="117" spans="1:47" s="8" customFormat="1" x14ac:dyDescent="0.25">
      <c r="A117" s="21"/>
      <c r="B117" s="9"/>
      <c r="C117" s="9"/>
      <c r="D117" s="9"/>
      <c r="E117" s="10"/>
      <c r="F117" s="54" t="s">
        <v>28</v>
      </c>
      <c r="G117" s="27" t="s">
        <v>46</v>
      </c>
      <c r="H117" s="54" t="s">
        <v>56</v>
      </c>
      <c r="I117" s="9" t="s">
        <v>10</v>
      </c>
      <c r="J117" s="9">
        <f t="shared" si="290"/>
        <v>1446</v>
      </c>
      <c r="K117" s="5"/>
      <c r="L117" s="9">
        <v>723</v>
      </c>
      <c r="M117" s="43">
        <v>317</v>
      </c>
      <c r="N117" s="5"/>
      <c r="O117" s="72">
        <f t="shared" si="291"/>
        <v>317</v>
      </c>
      <c r="P117" s="74">
        <f t="shared" si="292"/>
        <v>15.850000000000001</v>
      </c>
      <c r="Q117" s="9"/>
      <c r="R117" s="27"/>
      <c r="S117" s="27">
        <f t="shared" si="293"/>
        <v>21.080500000000001</v>
      </c>
      <c r="T117" s="27"/>
      <c r="U117" s="29">
        <f t="shared" si="294"/>
        <v>280.06949999999995</v>
      </c>
      <c r="V117" s="27">
        <f t="shared" si="295"/>
        <v>280.06949999999995</v>
      </c>
      <c r="W117" s="28"/>
      <c r="X117" s="13">
        <f t="shared" si="296"/>
        <v>1.0000000000000009E-2</v>
      </c>
      <c r="Y117" s="17">
        <f t="shared" si="297"/>
        <v>0.99</v>
      </c>
      <c r="Z117" s="9">
        <f t="shared" si="298"/>
        <v>277.26880499999993</v>
      </c>
      <c r="AA117" s="17"/>
      <c r="AB117" s="5">
        <f t="shared" si="299"/>
        <v>0</v>
      </c>
      <c r="AC117" s="17"/>
      <c r="AD117" s="9">
        <f t="shared" si="300"/>
        <v>0</v>
      </c>
      <c r="AE117" s="67"/>
      <c r="AF117" s="4">
        <f t="shared" si="301"/>
        <v>0</v>
      </c>
      <c r="AG117" s="67"/>
      <c r="AH117" s="57">
        <f t="shared" si="302"/>
        <v>0</v>
      </c>
      <c r="AI117" s="17"/>
      <c r="AJ117" s="57">
        <f t="shared" si="303"/>
        <v>0</v>
      </c>
      <c r="AK117" s="67"/>
      <c r="AL117" s="57">
        <f t="shared" si="304"/>
        <v>0</v>
      </c>
      <c r="AM117" s="67"/>
      <c r="AN117" s="9">
        <f t="shared" si="305"/>
        <v>0</v>
      </c>
      <c r="AO117" s="67"/>
      <c r="AP117" s="10">
        <f t="shared" si="306"/>
        <v>0</v>
      </c>
      <c r="AQ117" s="17"/>
      <c r="AR117" s="10">
        <f t="shared" si="307"/>
        <v>0</v>
      </c>
      <c r="AS117" s="67"/>
      <c r="AT117" s="10">
        <f t="shared" si="308"/>
        <v>0</v>
      </c>
      <c r="AU117" s="73">
        <f t="shared" si="309"/>
        <v>2.8006950000000019</v>
      </c>
    </row>
    <row r="118" spans="1:47" s="8" customFormat="1" x14ac:dyDescent="0.25">
      <c r="A118" s="21"/>
      <c r="B118" s="9">
        <f t="shared" ref="B118:B127" si="310">IF(A118="",0,((U118)*10%))</f>
        <v>0</v>
      </c>
      <c r="C118" s="9"/>
      <c r="D118" s="9">
        <f t="shared" ref="D118:D121" si="311">IF(C118="",0,((U118)*5%))</f>
        <v>0</v>
      </c>
      <c r="E118" s="10"/>
      <c r="F118" s="54" t="s">
        <v>28</v>
      </c>
      <c r="G118" s="27" t="s">
        <v>46</v>
      </c>
      <c r="H118" s="54" t="s">
        <v>55</v>
      </c>
      <c r="I118" s="9" t="s">
        <v>12</v>
      </c>
      <c r="J118" s="9">
        <f t="shared" si="290"/>
        <v>1446</v>
      </c>
      <c r="K118" s="5"/>
      <c r="L118" s="9">
        <v>723</v>
      </c>
      <c r="M118" s="9"/>
      <c r="N118" s="5"/>
      <c r="O118" s="72">
        <f t="shared" si="291"/>
        <v>0</v>
      </c>
      <c r="P118" s="74">
        <f t="shared" si="292"/>
        <v>0</v>
      </c>
      <c r="Q118" s="9"/>
      <c r="R118" s="27"/>
      <c r="S118" s="27">
        <f t="shared" si="293"/>
        <v>0</v>
      </c>
      <c r="T118" s="27"/>
      <c r="U118" s="29">
        <f t="shared" si="294"/>
        <v>0</v>
      </c>
      <c r="V118" s="27">
        <f t="shared" si="295"/>
        <v>0</v>
      </c>
      <c r="W118" s="28"/>
      <c r="X118" s="13">
        <f t="shared" si="296"/>
        <v>9.9999999999999811E-3</v>
      </c>
      <c r="Y118" s="17">
        <f t="shared" si="297"/>
        <v>0.78</v>
      </c>
      <c r="Z118" s="9">
        <f t="shared" si="298"/>
        <v>0</v>
      </c>
      <c r="AA118" s="17">
        <v>0.15</v>
      </c>
      <c r="AB118" s="5">
        <f t="shared" si="299"/>
        <v>0</v>
      </c>
      <c r="AC118" s="17">
        <v>0.06</v>
      </c>
      <c r="AD118" s="9">
        <f t="shared" si="300"/>
        <v>0</v>
      </c>
      <c r="AE118" s="17"/>
      <c r="AF118" s="4">
        <f t="shared" ref="AF118:AF121" si="312">V118*AE118</f>
        <v>0</v>
      </c>
      <c r="AG118" s="17"/>
      <c r="AH118" s="44">
        <f t="shared" ref="AH118:AH121" si="313">V118*AG118</f>
        <v>0</v>
      </c>
      <c r="AI118" s="17"/>
      <c r="AJ118" s="44">
        <f t="shared" ref="AJ118:AJ121" si="314">V118*AI118</f>
        <v>0</v>
      </c>
      <c r="AK118" s="17"/>
      <c r="AL118" s="44">
        <f t="shared" si="304"/>
        <v>0</v>
      </c>
      <c r="AM118" s="17"/>
      <c r="AN118" s="5">
        <f t="shared" si="305"/>
        <v>0</v>
      </c>
      <c r="AO118" s="17"/>
      <c r="AP118" s="4">
        <f t="shared" si="306"/>
        <v>0</v>
      </c>
      <c r="AQ118" s="17"/>
      <c r="AR118" s="4">
        <f t="shared" si="307"/>
        <v>0</v>
      </c>
      <c r="AS118" s="17"/>
      <c r="AT118" s="4">
        <f t="shared" si="308"/>
        <v>0</v>
      </c>
      <c r="AU118" s="73">
        <f t="shared" si="309"/>
        <v>0</v>
      </c>
    </row>
    <row r="119" spans="1:47" s="8" customFormat="1" x14ac:dyDescent="0.25">
      <c r="A119" s="21"/>
      <c r="B119" s="9">
        <f t="shared" si="310"/>
        <v>0</v>
      </c>
      <c r="C119" s="9"/>
      <c r="D119" s="9">
        <f t="shared" si="311"/>
        <v>0</v>
      </c>
      <c r="E119" s="10"/>
      <c r="F119" s="54" t="s">
        <v>28</v>
      </c>
      <c r="G119" s="27" t="s">
        <v>46</v>
      </c>
      <c r="H119" s="54" t="s">
        <v>55</v>
      </c>
      <c r="I119" s="9" t="s">
        <v>12</v>
      </c>
      <c r="J119" s="9">
        <f t="shared" si="290"/>
        <v>1446</v>
      </c>
      <c r="K119" s="5"/>
      <c r="L119" s="9">
        <v>723</v>
      </c>
      <c r="M119" s="9"/>
      <c r="N119" s="5"/>
      <c r="O119" s="72">
        <f t="shared" si="291"/>
        <v>0</v>
      </c>
      <c r="P119" s="74">
        <f t="shared" si="292"/>
        <v>0</v>
      </c>
      <c r="Q119" s="9"/>
      <c r="R119" s="27"/>
      <c r="S119" s="27">
        <f t="shared" si="293"/>
        <v>0</v>
      </c>
      <c r="T119" s="27"/>
      <c r="U119" s="29">
        <f t="shared" si="294"/>
        <v>0</v>
      </c>
      <c r="V119" s="27">
        <f t="shared" si="295"/>
        <v>0</v>
      </c>
      <c r="W119" s="28"/>
      <c r="X119" s="13">
        <f t="shared" si="296"/>
        <v>9.9999999999999811E-3</v>
      </c>
      <c r="Y119" s="17">
        <f t="shared" si="297"/>
        <v>0.78</v>
      </c>
      <c r="Z119" s="9">
        <f t="shared" si="298"/>
        <v>0</v>
      </c>
      <c r="AA119" s="17">
        <v>0.15</v>
      </c>
      <c r="AB119" s="5">
        <f t="shared" si="299"/>
        <v>0</v>
      </c>
      <c r="AC119" s="17">
        <v>0.06</v>
      </c>
      <c r="AD119" s="9">
        <f t="shared" si="300"/>
        <v>0</v>
      </c>
      <c r="AE119" s="17"/>
      <c r="AF119" s="4">
        <f t="shared" si="312"/>
        <v>0</v>
      </c>
      <c r="AG119" s="17"/>
      <c r="AH119" s="44">
        <f t="shared" si="313"/>
        <v>0</v>
      </c>
      <c r="AI119" s="17"/>
      <c r="AJ119" s="44">
        <f t="shared" si="314"/>
        <v>0</v>
      </c>
      <c r="AK119" s="17"/>
      <c r="AL119" s="44">
        <f t="shared" si="304"/>
        <v>0</v>
      </c>
      <c r="AM119" s="17"/>
      <c r="AN119" s="5">
        <f t="shared" si="305"/>
        <v>0</v>
      </c>
      <c r="AO119" s="17"/>
      <c r="AP119" s="4">
        <f t="shared" si="306"/>
        <v>0</v>
      </c>
      <c r="AQ119" s="17"/>
      <c r="AR119" s="4">
        <f t="shared" si="307"/>
        <v>0</v>
      </c>
      <c r="AS119" s="17"/>
      <c r="AT119" s="4">
        <f t="shared" si="308"/>
        <v>0</v>
      </c>
      <c r="AU119" s="73">
        <f t="shared" si="309"/>
        <v>0</v>
      </c>
    </row>
    <row r="120" spans="1:47" s="8" customFormat="1" x14ac:dyDescent="0.25">
      <c r="A120" s="21"/>
      <c r="B120" s="9">
        <f t="shared" si="310"/>
        <v>0</v>
      </c>
      <c r="C120" s="9"/>
      <c r="D120" s="9">
        <f t="shared" si="311"/>
        <v>0</v>
      </c>
      <c r="E120" s="10"/>
      <c r="F120" s="54" t="s">
        <v>28</v>
      </c>
      <c r="G120" s="27" t="s">
        <v>46</v>
      </c>
      <c r="H120" s="54" t="s">
        <v>56</v>
      </c>
      <c r="I120" s="9" t="s">
        <v>12</v>
      </c>
      <c r="J120" s="9">
        <f t="shared" si="290"/>
        <v>1446</v>
      </c>
      <c r="K120" s="5"/>
      <c r="L120" s="9">
        <v>723</v>
      </c>
      <c r="M120" s="9"/>
      <c r="N120" s="5"/>
      <c r="O120" s="72">
        <f t="shared" si="291"/>
        <v>0</v>
      </c>
      <c r="P120" s="74">
        <f t="shared" si="292"/>
        <v>0</v>
      </c>
      <c r="Q120" s="9"/>
      <c r="R120" s="27"/>
      <c r="S120" s="27">
        <f t="shared" si="293"/>
        <v>0</v>
      </c>
      <c r="T120" s="27"/>
      <c r="U120" s="29">
        <f t="shared" si="294"/>
        <v>0</v>
      </c>
      <c r="V120" s="27">
        <f t="shared" si="295"/>
        <v>0</v>
      </c>
      <c r="W120" s="28"/>
      <c r="X120" s="13">
        <f t="shared" si="296"/>
        <v>9.9999999999999811E-3</v>
      </c>
      <c r="Y120" s="17">
        <f t="shared" si="297"/>
        <v>0.78</v>
      </c>
      <c r="Z120" s="9">
        <f t="shared" si="298"/>
        <v>0</v>
      </c>
      <c r="AA120" s="17">
        <v>0.15</v>
      </c>
      <c r="AB120" s="5">
        <f t="shared" si="299"/>
        <v>0</v>
      </c>
      <c r="AC120" s="17">
        <v>0.06</v>
      </c>
      <c r="AD120" s="9">
        <f t="shared" si="300"/>
        <v>0</v>
      </c>
      <c r="AE120" s="17"/>
      <c r="AF120" s="4">
        <f t="shared" si="312"/>
        <v>0</v>
      </c>
      <c r="AG120" s="17"/>
      <c r="AH120" s="44">
        <f t="shared" si="313"/>
        <v>0</v>
      </c>
      <c r="AI120" s="17"/>
      <c r="AJ120" s="44">
        <f t="shared" si="314"/>
        <v>0</v>
      </c>
      <c r="AK120" s="17"/>
      <c r="AL120" s="44">
        <f t="shared" si="304"/>
        <v>0</v>
      </c>
      <c r="AM120" s="17"/>
      <c r="AN120" s="5">
        <f t="shared" si="305"/>
        <v>0</v>
      </c>
      <c r="AO120" s="17"/>
      <c r="AP120" s="4">
        <f t="shared" si="306"/>
        <v>0</v>
      </c>
      <c r="AQ120" s="17"/>
      <c r="AR120" s="4">
        <f t="shared" si="307"/>
        <v>0</v>
      </c>
      <c r="AS120" s="17"/>
      <c r="AT120" s="4">
        <f t="shared" si="308"/>
        <v>0</v>
      </c>
      <c r="AU120" s="73">
        <f t="shared" si="309"/>
        <v>0</v>
      </c>
    </row>
    <row r="121" spans="1:47" s="8" customFormat="1" x14ac:dyDescent="0.25">
      <c r="A121" s="21"/>
      <c r="B121" s="9">
        <f t="shared" si="310"/>
        <v>0</v>
      </c>
      <c r="C121" s="9"/>
      <c r="D121" s="9">
        <f t="shared" si="311"/>
        <v>0</v>
      </c>
      <c r="E121" s="10"/>
      <c r="F121" s="54" t="s">
        <v>28</v>
      </c>
      <c r="G121" s="27" t="s">
        <v>46</v>
      </c>
      <c r="H121" s="54" t="s">
        <v>55</v>
      </c>
      <c r="I121" s="9" t="s">
        <v>12</v>
      </c>
      <c r="J121" s="9">
        <f t="shared" si="290"/>
        <v>1446</v>
      </c>
      <c r="K121" s="5"/>
      <c r="L121" s="9">
        <v>723</v>
      </c>
      <c r="M121" s="9"/>
      <c r="N121" s="5"/>
      <c r="O121" s="72">
        <f t="shared" si="291"/>
        <v>0</v>
      </c>
      <c r="P121" s="74">
        <f t="shared" si="292"/>
        <v>0</v>
      </c>
      <c r="Q121" s="9"/>
      <c r="R121" s="27"/>
      <c r="S121" s="27">
        <f t="shared" si="293"/>
        <v>0</v>
      </c>
      <c r="T121" s="27"/>
      <c r="U121" s="29">
        <f t="shared" si="294"/>
        <v>0</v>
      </c>
      <c r="V121" s="27">
        <f t="shared" si="295"/>
        <v>0</v>
      </c>
      <c r="W121" s="28"/>
      <c r="X121" s="13">
        <f t="shared" si="296"/>
        <v>9.9999999999999811E-3</v>
      </c>
      <c r="Y121" s="17">
        <f t="shared" si="297"/>
        <v>0.78</v>
      </c>
      <c r="Z121" s="9">
        <f t="shared" si="298"/>
        <v>0</v>
      </c>
      <c r="AA121" s="17">
        <v>0.15</v>
      </c>
      <c r="AB121" s="5">
        <f t="shared" si="299"/>
        <v>0</v>
      </c>
      <c r="AC121" s="17">
        <v>0.06</v>
      </c>
      <c r="AD121" s="9">
        <f t="shared" si="300"/>
        <v>0</v>
      </c>
      <c r="AE121" s="17"/>
      <c r="AF121" s="4">
        <f t="shared" si="312"/>
        <v>0</v>
      </c>
      <c r="AG121" s="17"/>
      <c r="AH121" s="44">
        <f t="shared" si="313"/>
        <v>0</v>
      </c>
      <c r="AI121" s="17"/>
      <c r="AJ121" s="44">
        <f t="shared" si="314"/>
        <v>0</v>
      </c>
      <c r="AK121" s="17"/>
      <c r="AL121" s="44">
        <f t="shared" si="304"/>
        <v>0</v>
      </c>
      <c r="AM121" s="17"/>
      <c r="AN121" s="5">
        <f t="shared" si="305"/>
        <v>0</v>
      </c>
      <c r="AO121" s="17"/>
      <c r="AP121" s="4">
        <f t="shared" si="306"/>
        <v>0</v>
      </c>
      <c r="AQ121" s="17"/>
      <c r="AR121" s="4">
        <f t="shared" si="307"/>
        <v>0</v>
      </c>
      <c r="AS121" s="17"/>
      <c r="AT121" s="4">
        <f t="shared" si="308"/>
        <v>0</v>
      </c>
      <c r="AU121" s="73">
        <f t="shared" si="309"/>
        <v>0</v>
      </c>
    </row>
    <row r="122" spans="1:47" s="8" customFormat="1" x14ac:dyDescent="0.25">
      <c r="A122" s="21"/>
      <c r="B122" s="9">
        <f t="shared" si="310"/>
        <v>0</v>
      </c>
      <c r="C122" s="9"/>
      <c r="D122" s="9">
        <f t="shared" ref="D122" si="315">IF(C122="",0,((U122)*5%))</f>
        <v>0</v>
      </c>
      <c r="E122" s="10"/>
      <c r="F122" s="54" t="s">
        <v>28</v>
      </c>
      <c r="G122" s="27" t="s">
        <v>46</v>
      </c>
      <c r="H122" s="54" t="s">
        <v>55</v>
      </c>
      <c r="I122" s="9" t="s">
        <v>12</v>
      </c>
      <c r="J122" s="9">
        <f t="shared" ref="J122" si="316">L122*2</f>
        <v>1446</v>
      </c>
      <c r="K122" s="5"/>
      <c r="L122" s="9">
        <v>723</v>
      </c>
      <c r="M122" s="9"/>
      <c r="N122" s="5"/>
      <c r="O122" s="72">
        <f t="shared" ref="O122" si="317">M122-N122</f>
        <v>0</v>
      </c>
      <c r="P122" s="74">
        <f t="shared" si="292"/>
        <v>0</v>
      </c>
      <c r="Q122" s="9"/>
      <c r="R122" s="27"/>
      <c r="S122" s="27">
        <f t="shared" si="293"/>
        <v>0</v>
      </c>
      <c r="T122" s="27"/>
      <c r="U122" s="29">
        <f t="shared" ref="U122" si="318">M122-N122-P122-Q122-R122-S122</f>
        <v>0</v>
      </c>
      <c r="V122" s="27">
        <f t="shared" ref="V122" si="319">U122-B122-D122</f>
        <v>0</v>
      </c>
      <c r="W122" s="28"/>
      <c r="X122" s="13">
        <f t="shared" ref="X122" si="320">100%-Y122-AA122-AC122-AE122-AG122-AI122-AK122-AM122-AO122-AQ122</f>
        <v>9.9999999999999811E-3</v>
      </c>
      <c r="Y122" s="17">
        <f t="shared" si="297"/>
        <v>0.78</v>
      </c>
      <c r="Z122" s="9">
        <f t="shared" si="298"/>
        <v>0</v>
      </c>
      <c r="AA122" s="17">
        <v>0.15</v>
      </c>
      <c r="AB122" s="5">
        <f t="shared" si="299"/>
        <v>0</v>
      </c>
      <c r="AC122" s="17">
        <v>0.06</v>
      </c>
      <c r="AD122" s="9">
        <f t="shared" si="300"/>
        <v>0</v>
      </c>
      <c r="AE122" s="17"/>
      <c r="AF122" s="4">
        <f t="shared" ref="AF122:AF123" si="321">V122*AE122</f>
        <v>0</v>
      </c>
      <c r="AG122" s="17"/>
      <c r="AH122" s="44">
        <f t="shared" ref="AH122:AH123" si="322">V122*AG122</f>
        <v>0</v>
      </c>
      <c r="AI122" s="17"/>
      <c r="AJ122" s="44">
        <f t="shared" ref="AJ122:AJ123" si="323">V122*AI122</f>
        <v>0</v>
      </c>
      <c r="AK122" s="17"/>
      <c r="AL122" s="44">
        <f t="shared" ref="AL122" si="324">V122*AK122</f>
        <v>0</v>
      </c>
      <c r="AM122" s="17"/>
      <c r="AN122" s="5">
        <f t="shared" ref="AN122" si="325">V122*AM122</f>
        <v>0</v>
      </c>
      <c r="AO122" s="17"/>
      <c r="AP122" s="4">
        <f t="shared" ref="AP122" si="326">V122*AO122</f>
        <v>0</v>
      </c>
      <c r="AQ122" s="17"/>
      <c r="AR122" s="4">
        <f t="shared" ref="AR122" si="327">V122*AQ122</f>
        <v>0</v>
      </c>
      <c r="AS122" s="17"/>
      <c r="AT122" s="4">
        <f t="shared" si="308"/>
        <v>0</v>
      </c>
      <c r="AU122" s="73">
        <f t="shared" ref="AU122" si="328">V122*X122</f>
        <v>0</v>
      </c>
    </row>
    <row r="123" spans="1:47" s="8" customFormat="1" x14ac:dyDescent="0.25">
      <c r="A123" s="21"/>
      <c r="B123" s="9">
        <f t="shared" si="310"/>
        <v>0</v>
      </c>
      <c r="C123" s="9"/>
      <c r="D123" s="9">
        <f t="shared" ref="D123:D125" si="329">IF(C123="",0,((U123)*5%))</f>
        <v>0</v>
      </c>
      <c r="E123" s="10"/>
      <c r="F123" s="54" t="s">
        <v>28</v>
      </c>
      <c r="G123" s="27" t="s">
        <v>46</v>
      </c>
      <c r="H123" s="54" t="s">
        <v>56</v>
      </c>
      <c r="I123" s="9" t="s">
        <v>12</v>
      </c>
      <c r="J123" s="9">
        <f t="shared" ref="J123:J125" si="330">L123*2</f>
        <v>1446</v>
      </c>
      <c r="K123" s="5"/>
      <c r="L123" s="9">
        <v>723</v>
      </c>
      <c r="M123" s="9"/>
      <c r="N123" s="5"/>
      <c r="O123" s="72">
        <f t="shared" ref="O123:O125" si="331">M123-N123</f>
        <v>0</v>
      </c>
      <c r="P123" s="74">
        <f t="shared" si="292"/>
        <v>0</v>
      </c>
      <c r="Q123" s="9"/>
      <c r="R123" s="27"/>
      <c r="S123" s="27">
        <f t="shared" si="293"/>
        <v>0</v>
      </c>
      <c r="T123" s="27"/>
      <c r="U123" s="29">
        <f t="shared" ref="U123:U125" si="332">M123-N123-P123-Q123-R123-S123</f>
        <v>0</v>
      </c>
      <c r="V123" s="27">
        <f t="shared" ref="V123:V125" si="333">U123-B123-D123</f>
        <v>0</v>
      </c>
      <c r="W123" s="28"/>
      <c r="X123" s="13">
        <f t="shared" ref="X123:X125" si="334">100%-Y123-AA123-AC123-AE123-AG123-AI123-AK123-AM123-AO123-AQ123</f>
        <v>9.9999999999999811E-3</v>
      </c>
      <c r="Y123" s="17">
        <f t="shared" si="297"/>
        <v>0.78</v>
      </c>
      <c r="Z123" s="9">
        <f t="shared" si="298"/>
        <v>0</v>
      </c>
      <c r="AA123" s="17">
        <v>0.15</v>
      </c>
      <c r="AB123" s="5">
        <f t="shared" si="299"/>
        <v>0</v>
      </c>
      <c r="AC123" s="17">
        <v>0.06</v>
      </c>
      <c r="AD123" s="9">
        <f t="shared" si="300"/>
        <v>0</v>
      </c>
      <c r="AE123" s="17"/>
      <c r="AF123" s="4">
        <f t="shared" si="321"/>
        <v>0</v>
      </c>
      <c r="AG123" s="17"/>
      <c r="AH123" s="44">
        <f t="shared" si="322"/>
        <v>0</v>
      </c>
      <c r="AI123" s="17"/>
      <c r="AJ123" s="44">
        <f t="shared" si="323"/>
        <v>0</v>
      </c>
      <c r="AK123" s="17"/>
      <c r="AL123" s="44">
        <f t="shared" ref="AL123:AL125" si="335">V123*AK123</f>
        <v>0</v>
      </c>
      <c r="AM123" s="17"/>
      <c r="AN123" s="5">
        <f t="shared" ref="AN123:AN125" si="336">V123*AM123</f>
        <v>0</v>
      </c>
      <c r="AO123" s="17"/>
      <c r="AP123" s="4">
        <f t="shared" ref="AP123:AP125" si="337">V123*AO123</f>
        <v>0</v>
      </c>
      <c r="AQ123" s="17"/>
      <c r="AR123" s="4">
        <f t="shared" ref="AR123:AR125" si="338">V123*AQ123</f>
        <v>0</v>
      </c>
      <c r="AS123" s="17"/>
      <c r="AT123" s="4">
        <f t="shared" si="308"/>
        <v>0</v>
      </c>
      <c r="AU123" s="73">
        <f t="shared" ref="AU123:AU125" si="339">V123*X123</f>
        <v>0</v>
      </c>
    </row>
    <row r="124" spans="1:47" s="8" customFormat="1" x14ac:dyDescent="0.25">
      <c r="A124" s="21"/>
      <c r="B124" s="9">
        <f t="shared" si="310"/>
        <v>0</v>
      </c>
      <c r="C124" s="9"/>
      <c r="D124" s="9">
        <f t="shared" si="329"/>
        <v>0</v>
      </c>
      <c r="E124" s="10"/>
      <c r="F124" s="54" t="s">
        <v>28</v>
      </c>
      <c r="G124" s="27" t="s">
        <v>46</v>
      </c>
      <c r="H124" s="54" t="s">
        <v>55</v>
      </c>
      <c r="I124" s="9" t="s">
        <v>12</v>
      </c>
      <c r="J124" s="9">
        <f t="shared" si="330"/>
        <v>1446</v>
      </c>
      <c r="K124" s="5"/>
      <c r="L124" s="9">
        <v>723</v>
      </c>
      <c r="M124" s="9"/>
      <c r="N124" s="5"/>
      <c r="O124" s="72">
        <f t="shared" si="331"/>
        <v>0</v>
      </c>
      <c r="P124" s="74">
        <f t="shared" si="292"/>
        <v>0</v>
      </c>
      <c r="Q124" s="9"/>
      <c r="R124" s="27"/>
      <c r="S124" s="27">
        <f t="shared" si="293"/>
        <v>0</v>
      </c>
      <c r="T124" s="27"/>
      <c r="U124" s="29">
        <f t="shared" si="332"/>
        <v>0</v>
      </c>
      <c r="V124" s="27">
        <f t="shared" si="333"/>
        <v>0</v>
      </c>
      <c r="W124" s="28"/>
      <c r="X124" s="13">
        <f t="shared" si="334"/>
        <v>9.9999999999999811E-3</v>
      </c>
      <c r="Y124" s="17">
        <f t="shared" si="297"/>
        <v>0.78</v>
      </c>
      <c r="Z124" s="9">
        <f t="shared" si="298"/>
        <v>0</v>
      </c>
      <c r="AA124" s="17">
        <v>0.15</v>
      </c>
      <c r="AB124" s="5">
        <f t="shared" si="299"/>
        <v>0</v>
      </c>
      <c r="AC124" s="17">
        <v>0.06</v>
      </c>
      <c r="AD124" s="9">
        <f t="shared" si="300"/>
        <v>0</v>
      </c>
      <c r="AE124" s="17"/>
      <c r="AF124" s="4">
        <f t="shared" ref="AF124:AF126" si="340">V124*AE124</f>
        <v>0</v>
      </c>
      <c r="AG124" s="17"/>
      <c r="AH124" s="44">
        <f t="shared" ref="AH124:AH126" si="341">V124*AG124</f>
        <v>0</v>
      </c>
      <c r="AI124" s="17"/>
      <c r="AJ124" s="44">
        <f t="shared" ref="AJ124:AJ126" si="342">V124*AI124</f>
        <v>0</v>
      </c>
      <c r="AK124" s="17"/>
      <c r="AL124" s="44">
        <f t="shared" si="335"/>
        <v>0</v>
      </c>
      <c r="AM124" s="17"/>
      <c r="AN124" s="5">
        <f t="shared" si="336"/>
        <v>0</v>
      </c>
      <c r="AO124" s="17"/>
      <c r="AP124" s="4">
        <f t="shared" si="337"/>
        <v>0</v>
      </c>
      <c r="AQ124" s="17"/>
      <c r="AR124" s="4">
        <f t="shared" si="338"/>
        <v>0</v>
      </c>
      <c r="AS124" s="17"/>
      <c r="AT124" s="4">
        <f t="shared" si="308"/>
        <v>0</v>
      </c>
      <c r="AU124" s="73">
        <f t="shared" si="339"/>
        <v>0</v>
      </c>
    </row>
    <row r="125" spans="1:47" s="8" customFormat="1" x14ac:dyDescent="0.25">
      <c r="A125" s="21"/>
      <c r="B125" s="9">
        <f t="shared" si="310"/>
        <v>0</v>
      </c>
      <c r="C125" s="9"/>
      <c r="D125" s="9">
        <f t="shared" si="329"/>
        <v>0</v>
      </c>
      <c r="E125" s="10"/>
      <c r="F125" s="54" t="s">
        <v>28</v>
      </c>
      <c r="G125" s="27" t="s">
        <v>46</v>
      </c>
      <c r="H125" s="54" t="s">
        <v>55</v>
      </c>
      <c r="I125" s="9" t="s">
        <v>12</v>
      </c>
      <c r="J125" s="9">
        <f t="shared" si="330"/>
        <v>1446</v>
      </c>
      <c r="K125" s="5"/>
      <c r="L125" s="9">
        <v>723</v>
      </c>
      <c r="M125" s="9"/>
      <c r="N125" s="5"/>
      <c r="O125" s="72">
        <f t="shared" si="331"/>
        <v>0</v>
      </c>
      <c r="P125" s="74">
        <f t="shared" si="292"/>
        <v>0</v>
      </c>
      <c r="Q125" s="9"/>
      <c r="R125" s="27"/>
      <c r="S125" s="27">
        <f t="shared" si="293"/>
        <v>0</v>
      </c>
      <c r="T125" s="27"/>
      <c r="U125" s="29">
        <f t="shared" si="332"/>
        <v>0</v>
      </c>
      <c r="V125" s="27">
        <f t="shared" si="333"/>
        <v>0</v>
      </c>
      <c r="W125" s="28"/>
      <c r="X125" s="13">
        <f t="shared" si="334"/>
        <v>9.9999999999999811E-3</v>
      </c>
      <c r="Y125" s="17">
        <f t="shared" si="297"/>
        <v>0.78</v>
      </c>
      <c r="Z125" s="9">
        <f t="shared" si="298"/>
        <v>0</v>
      </c>
      <c r="AA125" s="17">
        <v>0.15</v>
      </c>
      <c r="AB125" s="5">
        <f t="shared" si="299"/>
        <v>0</v>
      </c>
      <c r="AC125" s="17">
        <v>0.06</v>
      </c>
      <c r="AD125" s="9">
        <f t="shared" si="300"/>
        <v>0</v>
      </c>
      <c r="AE125" s="17"/>
      <c r="AF125" s="4">
        <f t="shared" si="340"/>
        <v>0</v>
      </c>
      <c r="AG125" s="17"/>
      <c r="AH125" s="44">
        <f t="shared" si="341"/>
        <v>0</v>
      </c>
      <c r="AI125" s="17"/>
      <c r="AJ125" s="44">
        <f t="shared" si="342"/>
        <v>0</v>
      </c>
      <c r="AK125" s="17"/>
      <c r="AL125" s="44">
        <f t="shared" si="335"/>
        <v>0</v>
      </c>
      <c r="AM125" s="17"/>
      <c r="AN125" s="5">
        <f t="shared" si="336"/>
        <v>0</v>
      </c>
      <c r="AO125" s="17"/>
      <c r="AP125" s="4">
        <f t="shared" si="337"/>
        <v>0</v>
      </c>
      <c r="AQ125" s="17"/>
      <c r="AR125" s="4">
        <f t="shared" si="338"/>
        <v>0</v>
      </c>
      <c r="AS125" s="17"/>
      <c r="AT125" s="4">
        <f t="shared" si="308"/>
        <v>0</v>
      </c>
      <c r="AU125" s="73">
        <f t="shared" si="339"/>
        <v>0</v>
      </c>
    </row>
    <row r="126" spans="1:47" s="8" customFormat="1" x14ac:dyDescent="0.25">
      <c r="A126" s="21"/>
      <c r="B126" s="9">
        <f t="shared" si="310"/>
        <v>0</v>
      </c>
      <c r="C126" s="9"/>
      <c r="D126" s="9">
        <f t="shared" ref="D126:D127" si="343">IF(C126="",0,((U126)*5%))</f>
        <v>0</v>
      </c>
      <c r="E126" s="10"/>
      <c r="F126" s="54" t="s">
        <v>28</v>
      </c>
      <c r="G126" s="27" t="s">
        <v>46</v>
      </c>
      <c r="H126" s="54" t="s">
        <v>56</v>
      </c>
      <c r="I126" s="9" t="s">
        <v>12</v>
      </c>
      <c r="J126" s="9">
        <f t="shared" ref="J126:J127" si="344">L126*2</f>
        <v>1446</v>
      </c>
      <c r="K126" s="5"/>
      <c r="L126" s="9">
        <v>723</v>
      </c>
      <c r="M126" s="9"/>
      <c r="N126" s="5"/>
      <c r="O126" s="72">
        <f t="shared" ref="O126:O127" si="345">M126-N126</f>
        <v>0</v>
      </c>
      <c r="P126" s="74">
        <f t="shared" si="292"/>
        <v>0</v>
      </c>
      <c r="Q126" s="9"/>
      <c r="R126" s="27"/>
      <c r="S126" s="27">
        <f t="shared" si="293"/>
        <v>0</v>
      </c>
      <c r="T126" s="27"/>
      <c r="U126" s="29">
        <f t="shared" ref="U126:U127" si="346">M126-N126-P126-Q126-R126-S126</f>
        <v>0</v>
      </c>
      <c r="V126" s="27">
        <f t="shared" ref="V126:V127" si="347">U126-B126-D126</f>
        <v>0</v>
      </c>
      <c r="W126" s="28"/>
      <c r="X126" s="13">
        <f t="shared" ref="X126:X127" si="348">100%-Y126-AA126-AC126-AE126-AG126-AI126-AK126-AM126-AO126-AQ126</f>
        <v>9.9999999999999811E-3</v>
      </c>
      <c r="Y126" s="17">
        <f t="shared" si="297"/>
        <v>0.78</v>
      </c>
      <c r="Z126" s="9">
        <f t="shared" si="298"/>
        <v>0</v>
      </c>
      <c r="AA126" s="17">
        <v>0.15</v>
      </c>
      <c r="AB126" s="5">
        <f t="shared" si="299"/>
        <v>0</v>
      </c>
      <c r="AC126" s="17">
        <v>0.06</v>
      </c>
      <c r="AD126" s="9">
        <f t="shared" si="300"/>
        <v>0</v>
      </c>
      <c r="AE126" s="17"/>
      <c r="AF126" s="4">
        <f t="shared" si="340"/>
        <v>0</v>
      </c>
      <c r="AG126" s="17"/>
      <c r="AH126" s="44">
        <f t="shared" si="341"/>
        <v>0</v>
      </c>
      <c r="AI126" s="17"/>
      <c r="AJ126" s="44">
        <f t="shared" si="342"/>
        <v>0</v>
      </c>
      <c r="AK126" s="17"/>
      <c r="AL126" s="44">
        <f t="shared" ref="AL126:AL127" si="349">V126*AK126</f>
        <v>0</v>
      </c>
      <c r="AM126" s="17"/>
      <c r="AN126" s="5">
        <f t="shared" ref="AN126:AN127" si="350">V126*AM126</f>
        <v>0</v>
      </c>
      <c r="AO126" s="17"/>
      <c r="AP126" s="4">
        <f t="shared" ref="AP126:AP127" si="351">V126*AO126</f>
        <v>0</v>
      </c>
      <c r="AQ126" s="17"/>
      <c r="AR126" s="4">
        <f t="shared" ref="AR126:AR127" si="352">V126*AQ126</f>
        <v>0</v>
      </c>
      <c r="AS126" s="17"/>
      <c r="AT126" s="4">
        <f t="shared" si="308"/>
        <v>0</v>
      </c>
      <c r="AU126" s="73">
        <f t="shared" ref="AU126:AU127" si="353">V126*X126</f>
        <v>0</v>
      </c>
    </row>
    <row r="127" spans="1:47" s="8" customFormat="1" x14ac:dyDescent="0.25">
      <c r="A127" s="21"/>
      <c r="B127" s="9">
        <f t="shared" si="310"/>
        <v>0</v>
      </c>
      <c r="C127" s="9"/>
      <c r="D127" s="9">
        <f t="shared" si="343"/>
        <v>0</v>
      </c>
      <c r="E127" s="10"/>
      <c r="F127" s="54" t="s">
        <v>28</v>
      </c>
      <c r="G127" s="27" t="s">
        <v>46</v>
      </c>
      <c r="H127" s="54" t="s">
        <v>55</v>
      </c>
      <c r="I127" s="9" t="s">
        <v>12</v>
      </c>
      <c r="J127" s="9">
        <f t="shared" si="344"/>
        <v>1446</v>
      </c>
      <c r="K127" s="5"/>
      <c r="L127" s="9">
        <v>723</v>
      </c>
      <c r="M127" s="9"/>
      <c r="N127" s="5"/>
      <c r="O127" s="72">
        <f t="shared" si="345"/>
        <v>0</v>
      </c>
      <c r="P127" s="74">
        <f t="shared" si="292"/>
        <v>0</v>
      </c>
      <c r="Q127" s="9"/>
      <c r="R127" s="27"/>
      <c r="S127" s="27">
        <f t="shared" si="293"/>
        <v>0</v>
      </c>
      <c r="T127" s="27"/>
      <c r="U127" s="29">
        <f t="shared" si="346"/>
        <v>0</v>
      </c>
      <c r="V127" s="27">
        <f t="shared" si="347"/>
        <v>0</v>
      </c>
      <c r="W127" s="28"/>
      <c r="X127" s="13">
        <f t="shared" si="348"/>
        <v>9.9999999999999811E-3</v>
      </c>
      <c r="Y127" s="17">
        <f t="shared" si="297"/>
        <v>0.78</v>
      </c>
      <c r="Z127" s="9">
        <f t="shared" si="298"/>
        <v>0</v>
      </c>
      <c r="AA127" s="17">
        <v>0.15</v>
      </c>
      <c r="AB127" s="5">
        <f t="shared" si="299"/>
        <v>0</v>
      </c>
      <c r="AC127" s="17">
        <v>0.06</v>
      </c>
      <c r="AD127" s="9">
        <f t="shared" si="300"/>
        <v>0</v>
      </c>
      <c r="AE127" s="17"/>
      <c r="AF127" s="4">
        <f t="shared" ref="AF127" si="354">V127*AE127</f>
        <v>0</v>
      </c>
      <c r="AG127" s="17"/>
      <c r="AH127" s="44">
        <f t="shared" ref="AH127" si="355">V127*AG127</f>
        <v>0</v>
      </c>
      <c r="AI127" s="17"/>
      <c r="AJ127" s="44">
        <f t="shared" ref="AJ127" si="356">V127*AI127</f>
        <v>0</v>
      </c>
      <c r="AK127" s="17"/>
      <c r="AL127" s="44">
        <f t="shared" si="349"/>
        <v>0</v>
      </c>
      <c r="AM127" s="17"/>
      <c r="AN127" s="5">
        <f t="shared" si="350"/>
        <v>0</v>
      </c>
      <c r="AO127" s="17"/>
      <c r="AP127" s="4">
        <f t="shared" si="351"/>
        <v>0</v>
      </c>
      <c r="AQ127" s="17"/>
      <c r="AR127" s="4">
        <f t="shared" si="352"/>
        <v>0</v>
      </c>
      <c r="AS127" s="17"/>
      <c r="AT127" s="4">
        <f t="shared" si="308"/>
        <v>0</v>
      </c>
      <c r="AU127" s="73">
        <f t="shared" si="353"/>
        <v>0</v>
      </c>
    </row>
    <row r="128" spans="1:47" x14ac:dyDescent="0.25">
      <c r="A128" s="21"/>
      <c r="C128" s="9"/>
      <c r="D128" s="10"/>
      <c r="E128" s="10"/>
      <c r="F128" s="8"/>
      <c r="G128" s="8"/>
      <c r="H128" s="8"/>
      <c r="I128" s="9"/>
      <c r="J128" s="9"/>
      <c r="K128" s="9"/>
      <c r="L128" s="9"/>
      <c r="M128" s="9"/>
      <c r="N128" s="9"/>
      <c r="O128" s="9"/>
      <c r="P128" s="9"/>
      <c r="Q128" s="9"/>
      <c r="Z128" s="5"/>
      <c r="AB128" s="5"/>
      <c r="AD128" s="5"/>
      <c r="AH128" s="44"/>
      <c r="AJ128" s="44"/>
      <c r="AL128" s="44"/>
      <c r="AN128" s="5"/>
      <c r="AP128" s="5"/>
      <c r="AR128" s="5"/>
      <c r="AT128" s="5"/>
    </row>
    <row r="129" spans="1:47" s="8" customFormat="1" x14ac:dyDescent="0.25">
      <c r="A129" s="21" t="s">
        <v>22</v>
      </c>
      <c r="B129" s="9">
        <f t="shared" ref="B129:B140" si="357">IF(A129="",0,((U129)*10%))</f>
        <v>47.496960000000009</v>
      </c>
      <c r="C129" s="9"/>
      <c r="D129" s="9">
        <f t="shared" ref="D129:D140" si="358">IF(C129="",0,((U129)*5%))</f>
        <v>0</v>
      </c>
      <c r="E129" s="10"/>
      <c r="F129" s="54" t="s">
        <v>40</v>
      </c>
      <c r="G129" s="27" t="s">
        <v>46</v>
      </c>
      <c r="H129" s="54" t="s">
        <v>55</v>
      </c>
      <c r="I129" s="5" t="s">
        <v>3</v>
      </c>
      <c r="J129" s="5">
        <f t="shared" ref="J129:J140" si="359">L129*2</f>
        <v>1600</v>
      </c>
      <c r="K129" s="5"/>
      <c r="L129" s="9">
        <v>800</v>
      </c>
      <c r="M129" s="9">
        <f t="shared" ref="M129:M138" si="360">L129</f>
        <v>800</v>
      </c>
      <c r="N129" s="9">
        <v>2</v>
      </c>
      <c r="O129" s="72">
        <f t="shared" ref="O129:O140" si="361">M129-N129</f>
        <v>798</v>
      </c>
      <c r="P129" s="74">
        <f t="shared" ref="P129:P136" si="362">(M129-N129)*10%</f>
        <v>79.800000000000011</v>
      </c>
      <c r="Q129" s="9">
        <f t="shared" ref="Q129:Q134" si="363">(M129-N129)*10%</f>
        <v>79.800000000000011</v>
      </c>
      <c r="R129" s="27">
        <f t="shared" ref="R129:R135" si="364">(M129-N129-P129-Q129)*20%</f>
        <v>127.68000000000002</v>
      </c>
      <c r="S129" s="27">
        <f t="shared" ref="S129:S137" si="365">(O129-P129-Q129-R129)*7%</f>
        <v>35.750400000000006</v>
      </c>
      <c r="T129" s="27"/>
      <c r="U129" s="29">
        <f t="shared" ref="U129:U140" si="366">M129-N129-P129-Q129-R129-S129</f>
        <v>474.96960000000007</v>
      </c>
      <c r="V129" s="27">
        <f t="shared" ref="V129:V140" si="367">U129-B129-D129</f>
        <v>427.47264000000007</v>
      </c>
      <c r="W129" s="28"/>
      <c r="X129" s="13">
        <f t="shared" ref="X129:X132" si="368">100%-Y129-AA129-AC129-AE129-AG129-AI129-AK129-AM129-AO129-AQ129</f>
        <v>3.0000000000000027E-2</v>
      </c>
      <c r="Y129" s="17">
        <f t="shared" ref="Y129:Y137" si="369">(97%-AA129-AC129-AE129-AG129-AI129-AK129-AM129-AO129-AQ129)</f>
        <v>0.97</v>
      </c>
      <c r="Z129" s="5">
        <f t="shared" ref="Z129:Z140" si="370">(V129*Y129)+Q129+R129</f>
        <v>622.12846080000008</v>
      </c>
      <c r="AA129" s="17"/>
      <c r="AB129" s="5">
        <f t="shared" ref="AB129:AB140" si="371">(V129*AA129)</f>
        <v>0</v>
      </c>
      <c r="AC129" s="67"/>
      <c r="AD129" s="5"/>
      <c r="AE129" s="67"/>
      <c r="AF129" s="4">
        <f t="shared" ref="AF129:AF140" si="372">V129*AE129</f>
        <v>0</v>
      </c>
      <c r="AG129" s="67"/>
      <c r="AH129" s="44">
        <f t="shared" ref="AH129:AH140" si="373">V129*AG129</f>
        <v>0</v>
      </c>
      <c r="AI129" s="17"/>
      <c r="AJ129" s="44">
        <f t="shared" ref="AJ129:AJ140" si="374">V129*AI129</f>
        <v>0</v>
      </c>
      <c r="AK129" s="67"/>
      <c r="AL129" s="44">
        <f t="shared" ref="AL129:AL140" si="375">V129*AK129</f>
        <v>0</v>
      </c>
      <c r="AM129" s="67"/>
      <c r="AN129" s="4">
        <f t="shared" ref="AN129:AN140" si="376">V129*AM129</f>
        <v>0</v>
      </c>
      <c r="AO129" s="67"/>
      <c r="AP129" s="4">
        <f t="shared" ref="AP129:AP140" si="377">V129*AO129</f>
        <v>0</v>
      </c>
      <c r="AQ129" s="17"/>
      <c r="AR129" s="4">
        <f t="shared" ref="AR129:AR140" si="378">V129*AQ129</f>
        <v>0</v>
      </c>
      <c r="AS129" s="67"/>
      <c r="AT129" s="4">
        <f t="shared" ref="AT129:AT140" si="379">X129*AS129</f>
        <v>0</v>
      </c>
      <c r="AU129" s="73">
        <f t="shared" ref="AU129:AU140" si="380">V129*X129</f>
        <v>12.824179200000014</v>
      </c>
    </row>
    <row r="130" spans="1:47" s="8" customFormat="1" x14ac:dyDescent="0.25">
      <c r="A130" s="21" t="str">
        <f>A129</f>
        <v>Donovan</v>
      </c>
      <c r="B130" s="9">
        <f t="shared" si="357"/>
        <v>47.496960000000009</v>
      </c>
      <c r="C130" s="9"/>
      <c r="D130" s="9">
        <f t="shared" si="358"/>
        <v>0</v>
      </c>
      <c r="E130" s="10"/>
      <c r="F130" s="54" t="str">
        <f>F129</f>
        <v>Limeo</v>
      </c>
      <c r="G130" s="27" t="s">
        <v>46</v>
      </c>
      <c r="H130" s="54" t="s">
        <v>56</v>
      </c>
      <c r="I130" s="9" t="s">
        <v>4</v>
      </c>
      <c r="J130" s="5">
        <f t="shared" si="359"/>
        <v>1600</v>
      </c>
      <c r="K130" s="9"/>
      <c r="L130" s="9">
        <f>L129</f>
        <v>800</v>
      </c>
      <c r="M130" s="9">
        <f t="shared" si="360"/>
        <v>800</v>
      </c>
      <c r="N130" s="9">
        <v>2</v>
      </c>
      <c r="O130" s="72">
        <f t="shared" si="361"/>
        <v>798</v>
      </c>
      <c r="P130" s="74">
        <f t="shared" si="362"/>
        <v>79.800000000000011</v>
      </c>
      <c r="Q130" s="9">
        <f t="shared" si="363"/>
        <v>79.800000000000011</v>
      </c>
      <c r="R130" s="27">
        <f t="shared" si="364"/>
        <v>127.68000000000002</v>
      </c>
      <c r="S130" s="27">
        <f t="shared" si="365"/>
        <v>35.750400000000006</v>
      </c>
      <c r="T130" s="27"/>
      <c r="U130" s="29">
        <f t="shared" si="366"/>
        <v>474.96960000000007</v>
      </c>
      <c r="V130" s="27">
        <f t="shared" si="367"/>
        <v>427.47264000000007</v>
      </c>
      <c r="W130" s="28"/>
      <c r="X130" s="13">
        <f t="shared" si="368"/>
        <v>3.0000000000000027E-2</v>
      </c>
      <c r="Y130" s="17">
        <f t="shared" si="369"/>
        <v>0.97</v>
      </c>
      <c r="Z130" s="5">
        <f t="shared" si="370"/>
        <v>622.12846080000008</v>
      </c>
      <c r="AA130" s="17"/>
      <c r="AB130" s="5">
        <f t="shared" si="371"/>
        <v>0</v>
      </c>
      <c r="AC130" s="67"/>
      <c r="AD130" s="5"/>
      <c r="AE130" s="67"/>
      <c r="AF130" s="4">
        <f t="shared" si="372"/>
        <v>0</v>
      </c>
      <c r="AG130" s="67"/>
      <c r="AH130" s="44">
        <f t="shared" si="373"/>
        <v>0</v>
      </c>
      <c r="AI130" s="17"/>
      <c r="AJ130" s="44">
        <f t="shared" si="374"/>
        <v>0</v>
      </c>
      <c r="AK130" s="67"/>
      <c r="AL130" s="44">
        <f t="shared" si="375"/>
        <v>0</v>
      </c>
      <c r="AM130" s="67"/>
      <c r="AN130" s="4">
        <f t="shared" si="376"/>
        <v>0</v>
      </c>
      <c r="AO130" s="67"/>
      <c r="AP130" s="4">
        <f t="shared" si="377"/>
        <v>0</v>
      </c>
      <c r="AQ130" s="17"/>
      <c r="AR130" s="4">
        <f t="shared" si="378"/>
        <v>0</v>
      </c>
      <c r="AS130" s="67"/>
      <c r="AT130" s="4">
        <f t="shared" si="379"/>
        <v>0</v>
      </c>
      <c r="AU130" s="73">
        <f t="shared" si="380"/>
        <v>12.824179200000014</v>
      </c>
    </row>
    <row r="131" spans="1:47" s="8" customFormat="1" x14ac:dyDescent="0.25">
      <c r="A131" s="21" t="str">
        <f>A129</f>
        <v>Donovan</v>
      </c>
      <c r="B131" s="9">
        <f t="shared" si="357"/>
        <v>47.616</v>
      </c>
      <c r="C131" s="9"/>
      <c r="D131" s="9">
        <f t="shared" si="358"/>
        <v>0</v>
      </c>
      <c r="E131" s="10"/>
      <c r="F131" s="54" t="str">
        <f>F129</f>
        <v>Limeo</v>
      </c>
      <c r="G131" s="27" t="s">
        <v>46</v>
      </c>
      <c r="H131" s="54" t="s">
        <v>57</v>
      </c>
      <c r="I131" s="9" t="s">
        <v>5</v>
      </c>
      <c r="J131" s="5">
        <f t="shared" si="359"/>
        <v>1600</v>
      </c>
      <c r="K131" s="9"/>
      <c r="L131" s="9">
        <f>L129</f>
        <v>800</v>
      </c>
      <c r="M131" s="9">
        <f t="shared" si="360"/>
        <v>800</v>
      </c>
      <c r="N131" s="9"/>
      <c r="O131" s="72">
        <f t="shared" si="361"/>
        <v>800</v>
      </c>
      <c r="P131" s="74">
        <f t="shared" si="362"/>
        <v>80</v>
      </c>
      <c r="Q131" s="9">
        <f t="shared" si="363"/>
        <v>80</v>
      </c>
      <c r="R131" s="27">
        <f t="shared" si="364"/>
        <v>128</v>
      </c>
      <c r="S131" s="27">
        <f t="shared" si="365"/>
        <v>35.840000000000003</v>
      </c>
      <c r="T131" s="27"/>
      <c r="U131" s="29">
        <f t="shared" si="366"/>
        <v>476.15999999999997</v>
      </c>
      <c r="V131" s="27">
        <f t="shared" si="367"/>
        <v>428.54399999999998</v>
      </c>
      <c r="W131" s="28"/>
      <c r="X131" s="13">
        <f t="shared" si="368"/>
        <v>3.0000000000000027E-2</v>
      </c>
      <c r="Y131" s="17">
        <f t="shared" si="369"/>
        <v>0.97</v>
      </c>
      <c r="Z131" s="5">
        <f t="shared" si="370"/>
        <v>623.68768</v>
      </c>
      <c r="AA131" s="17"/>
      <c r="AB131" s="5">
        <f t="shared" si="371"/>
        <v>0</v>
      </c>
      <c r="AC131" s="67"/>
      <c r="AD131" s="5"/>
      <c r="AE131" s="67"/>
      <c r="AF131" s="4">
        <f t="shared" si="372"/>
        <v>0</v>
      </c>
      <c r="AG131" s="67"/>
      <c r="AH131" s="44">
        <f t="shared" si="373"/>
        <v>0</v>
      </c>
      <c r="AI131" s="17"/>
      <c r="AJ131" s="44">
        <f t="shared" si="374"/>
        <v>0</v>
      </c>
      <c r="AK131" s="67"/>
      <c r="AL131" s="44">
        <f t="shared" si="375"/>
        <v>0</v>
      </c>
      <c r="AM131" s="67"/>
      <c r="AN131" s="4">
        <f t="shared" si="376"/>
        <v>0</v>
      </c>
      <c r="AO131" s="67"/>
      <c r="AP131" s="4">
        <f t="shared" si="377"/>
        <v>0</v>
      </c>
      <c r="AQ131" s="17"/>
      <c r="AR131" s="4">
        <f t="shared" si="378"/>
        <v>0</v>
      </c>
      <c r="AS131" s="67"/>
      <c r="AT131" s="4">
        <f t="shared" si="379"/>
        <v>0</v>
      </c>
      <c r="AU131" s="73">
        <f t="shared" si="380"/>
        <v>12.856320000000011</v>
      </c>
    </row>
    <row r="132" spans="1:47" s="8" customFormat="1" x14ac:dyDescent="0.25">
      <c r="A132" s="21" t="str">
        <f>A129</f>
        <v>Donovan</v>
      </c>
      <c r="B132" s="9">
        <f t="shared" si="357"/>
        <v>47.616</v>
      </c>
      <c r="C132" s="9"/>
      <c r="D132" s="9">
        <f t="shared" si="358"/>
        <v>0</v>
      </c>
      <c r="E132" s="10"/>
      <c r="F132" s="54" t="str">
        <f>F129</f>
        <v>Limeo</v>
      </c>
      <c r="G132" s="27" t="s">
        <v>46</v>
      </c>
      <c r="H132" s="54" t="s">
        <v>58</v>
      </c>
      <c r="I132" s="9" t="s">
        <v>1</v>
      </c>
      <c r="J132" s="5">
        <f t="shared" si="359"/>
        <v>1600</v>
      </c>
      <c r="K132" s="9"/>
      <c r="L132" s="9">
        <f>L129</f>
        <v>800</v>
      </c>
      <c r="M132" s="9">
        <f t="shared" si="360"/>
        <v>800</v>
      </c>
      <c r="N132" s="9"/>
      <c r="O132" s="72">
        <f t="shared" si="361"/>
        <v>800</v>
      </c>
      <c r="P132" s="74">
        <f t="shared" si="362"/>
        <v>80</v>
      </c>
      <c r="Q132" s="9">
        <f t="shared" si="363"/>
        <v>80</v>
      </c>
      <c r="R132" s="27">
        <f t="shared" si="364"/>
        <v>128</v>
      </c>
      <c r="S132" s="27">
        <f t="shared" si="365"/>
        <v>35.840000000000003</v>
      </c>
      <c r="T132" s="27"/>
      <c r="U132" s="29">
        <f t="shared" si="366"/>
        <v>476.15999999999997</v>
      </c>
      <c r="V132" s="27">
        <f t="shared" si="367"/>
        <v>428.54399999999998</v>
      </c>
      <c r="W132" s="28"/>
      <c r="X132" s="13">
        <f t="shared" si="368"/>
        <v>3.0000000000000027E-2</v>
      </c>
      <c r="Y132" s="17">
        <f t="shared" si="369"/>
        <v>0.97</v>
      </c>
      <c r="Z132" s="5">
        <f t="shared" si="370"/>
        <v>623.68768</v>
      </c>
      <c r="AA132" s="17"/>
      <c r="AB132" s="5">
        <f t="shared" si="371"/>
        <v>0</v>
      </c>
      <c r="AC132" s="67"/>
      <c r="AD132" s="5"/>
      <c r="AE132" s="67"/>
      <c r="AF132" s="4">
        <f t="shared" si="372"/>
        <v>0</v>
      </c>
      <c r="AG132" s="67"/>
      <c r="AH132" s="44">
        <f t="shared" si="373"/>
        <v>0</v>
      </c>
      <c r="AI132" s="17"/>
      <c r="AJ132" s="44">
        <f t="shared" si="374"/>
        <v>0</v>
      </c>
      <c r="AK132" s="67"/>
      <c r="AL132" s="44">
        <f t="shared" si="375"/>
        <v>0</v>
      </c>
      <c r="AM132" s="67"/>
      <c r="AN132" s="4">
        <f t="shared" si="376"/>
        <v>0</v>
      </c>
      <c r="AO132" s="67"/>
      <c r="AP132" s="4">
        <f t="shared" si="377"/>
        <v>0</v>
      </c>
      <c r="AQ132" s="17"/>
      <c r="AR132" s="4">
        <f t="shared" si="378"/>
        <v>0</v>
      </c>
      <c r="AS132" s="67"/>
      <c r="AT132" s="4">
        <f t="shared" si="379"/>
        <v>0</v>
      </c>
      <c r="AU132" s="73">
        <f t="shared" si="380"/>
        <v>12.856320000000011</v>
      </c>
    </row>
    <row r="133" spans="1:47" s="8" customFormat="1" x14ac:dyDescent="0.25">
      <c r="A133" s="21" t="str">
        <f>A129</f>
        <v>Donovan</v>
      </c>
      <c r="B133" s="9">
        <f t="shared" si="357"/>
        <v>47.616</v>
      </c>
      <c r="C133" s="9"/>
      <c r="D133" s="9">
        <f t="shared" si="358"/>
        <v>0</v>
      </c>
      <c r="E133" s="10"/>
      <c r="F133" s="54" t="str">
        <f>F129</f>
        <v>Limeo</v>
      </c>
      <c r="G133" s="27" t="s">
        <v>46</v>
      </c>
      <c r="H133" s="54" t="s">
        <v>59</v>
      </c>
      <c r="I133" s="9" t="s">
        <v>2</v>
      </c>
      <c r="J133" s="5">
        <f t="shared" si="359"/>
        <v>1600</v>
      </c>
      <c r="K133" s="9"/>
      <c r="L133" s="9">
        <f>L129</f>
        <v>800</v>
      </c>
      <c r="M133" s="9">
        <f t="shared" si="360"/>
        <v>800</v>
      </c>
      <c r="N133" s="9"/>
      <c r="O133" s="72">
        <f t="shared" si="361"/>
        <v>800</v>
      </c>
      <c r="P133" s="74">
        <f t="shared" si="362"/>
        <v>80</v>
      </c>
      <c r="Q133" s="9">
        <f t="shared" si="363"/>
        <v>80</v>
      </c>
      <c r="R133" s="27">
        <f t="shared" si="364"/>
        <v>128</v>
      </c>
      <c r="S133" s="27">
        <f t="shared" si="365"/>
        <v>35.840000000000003</v>
      </c>
      <c r="T133" s="27"/>
      <c r="U133" s="29">
        <f t="shared" si="366"/>
        <v>476.15999999999997</v>
      </c>
      <c r="V133" s="27">
        <f t="shared" si="367"/>
        <v>428.54399999999998</v>
      </c>
      <c r="W133" s="28"/>
      <c r="X133" s="13">
        <f>100%-Y133-AA133-AC133-AE133-AG133-AI133-AK133-AM133-AO133-AQ133</f>
        <v>3.0000000000000027E-2</v>
      </c>
      <c r="Y133" s="17">
        <f t="shared" si="369"/>
        <v>0.97</v>
      </c>
      <c r="Z133" s="5">
        <f t="shared" si="370"/>
        <v>623.68768</v>
      </c>
      <c r="AA133" s="17"/>
      <c r="AB133" s="5">
        <f t="shared" si="371"/>
        <v>0</v>
      </c>
      <c r="AC133" s="67"/>
      <c r="AD133" s="5"/>
      <c r="AE133" s="67"/>
      <c r="AF133" s="4">
        <f t="shared" si="372"/>
        <v>0</v>
      </c>
      <c r="AG133" s="67"/>
      <c r="AH133" s="44">
        <f t="shared" si="373"/>
        <v>0</v>
      </c>
      <c r="AI133" s="17"/>
      <c r="AJ133" s="44">
        <f t="shared" si="374"/>
        <v>0</v>
      </c>
      <c r="AK133" s="67"/>
      <c r="AL133" s="44">
        <f t="shared" si="375"/>
        <v>0</v>
      </c>
      <c r="AM133" s="67"/>
      <c r="AN133" s="4">
        <f t="shared" si="376"/>
        <v>0</v>
      </c>
      <c r="AO133" s="67"/>
      <c r="AP133" s="4">
        <f t="shared" si="377"/>
        <v>0</v>
      </c>
      <c r="AQ133" s="17"/>
      <c r="AR133" s="4">
        <f t="shared" si="378"/>
        <v>0</v>
      </c>
      <c r="AS133" s="67"/>
      <c r="AT133" s="4">
        <f t="shared" si="379"/>
        <v>0</v>
      </c>
      <c r="AU133" s="73">
        <f t="shared" si="380"/>
        <v>12.856320000000011</v>
      </c>
    </row>
    <row r="134" spans="1:47" s="8" customFormat="1" x14ac:dyDescent="0.25">
      <c r="A134" s="21"/>
      <c r="B134" s="9">
        <f t="shared" si="357"/>
        <v>0</v>
      </c>
      <c r="C134" s="9"/>
      <c r="D134" s="9">
        <f t="shared" si="358"/>
        <v>0</v>
      </c>
      <c r="E134" s="10"/>
      <c r="F134" s="54" t="str">
        <f>F129</f>
        <v>Limeo</v>
      </c>
      <c r="G134" s="27" t="s">
        <v>46</v>
      </c>
      <c r="H134" s="54" t="s">
        <v>60</v>
      </c>
      <c r="I134" s="9" t="s">
        <v>6</v>
      </c>
      <c r="J134" s="5">
        <f t="shared" si="359"/>
        <v>1600</v>
      </c>
      <c r="K134" s="9"/>
      <c r="L134" s="9">
        <f>L129</f>
        <v>800</v>
      </c>
      <c r="M134" s="9">
        <f t="shared" si="360"/>
        <v>800</v>
      </c>
      <c r="N134" s="9">
        <v>0</v>
      </c>
      <c r="O134" s="72">
        <f t="shared" si="361"/>
        <v>800</v>
      </c>
      <c r="P134" s="74">
        <f t="shared" si="362"/>
        <v>80</v>
      </c>
      <c r="Q134" s="9">
        <f t="shared" si="363"/>
        <v>80</v>
      </c>
      <c r="R134" s="27">
        <f t="shared" si="364"/>
        <v>128</v>
      </c>
      <c r="S134" s="27">
        <f t="shared" si="365"/>
        <v>35.840000000000003</v>
      </c>
      <c r="T134" s="27"/>
      <c r="U134" s="29">
        <f t="shared" si="366"/>
        <v>476.15999999999997</v>
      </c>
      <c r="V134" s="27">
        <f t="shared" si="367"/>
        <v>476.15999999999997</v>
      </c>
      <c r="W134" s="28"/>
      <c r="X134" s="13">
        <f t="shared" ref="X134:X136" si="381">100%-Y134-AA134-AC134-AE134-AG134-AI134-AK134-AM134-AO134-AQ134</f>
        <v>3.0000000000000027E-2</v>
      </c>
      <c r="Y134" s="17">
        <f t="shared" si="369"/>
        <v>0.97</v>
      </c>
      <c r="Z134" s="5">
        <f t="shared" si="370"/>
        <v>669.87519999999995</v>
      </c>
      <c r="AA134" s="17"/>
      <c r="AB134" s="5">
        <f t="shared" si="371"/>
        <v>0</v>
      </c>
      <c r="AC134" s="67"/>
      <c r="AD134" s="5"/>
      <c r="AE134" s="67"/>
      <c r="AF134" s="4">
        <f t="shared" si="372"/>
        <v>0</v>
      </c>
      <c r="AG134" s="67"/>
      <c r="AH134" s="44">
        <f t="shared" si="373"/>
        <v>0</v>
      </c>
      <c r="AI134" s="17"/>
      <c r="AJ134" s="44">
        <f t="shared" si="374"/>
        <v>0</v>
      </c>
      <c r="AK134" s="67"/>
      <c r="AL134" s="44">
        <f t="shared" si="375"/>
        <v>0</v>
      </c>
      <c r="AM134" s="67"/>
      <c r="AN134" s="4">
        <f t="shared" si="376"/>
        <v>0</v>
      </c>
      <c r="AO134" s="67"/>
      <c r="AP134" s="4">
        <f t="shared" si="377"/>
        <v>0</v>
      </c>
      <c r="AQ134" s="17"/>
      <c r="AR134" s="4">
        <f t="shared" si="378"/>
        <v>0</v>
      </c>
      <c r="AS134" s="67"/>
      <c r="AT134" s="4">
        <f t="shared" si="379"/>
        <v>0</v>
      </c>
      <c r="AU134" s="73">
        <f t="shared" si="380"/>
        <v>14.284800000000011</v>
      </c>
    </row>
    <row r="135" spans="1:47" s="8" customFormat="1" x14ac:dyDescent="0.25">
      <c r="A135" s="21"/>
      <c r="B135" s="9">
        <f t="shared" si="357"/>
        <v>0</v>
      </c>
      <c r="C135" s="9"/>
      <c r="D135" s="9">
        <f t="shared" si="358"/>
        <v>0</v>
      </c>
      <c r="E135" s="10"/>
      <c r="F135" s="54" t="str">
        <f>F129</f>
        <v>Limeo</v>
      </c>
      <c r="G135" s="27" t="s">
        <v>46</v>
      </c>
      <c r="H135" s="54" t="s">
        <v>61</v>
      </c>
      <c r="I135" s="9" t="s">
        <v>7</v>
      </c>
      <c r="J135" s="5">
        <f t="shared" si="359"/>
        <v>1600</v>
      </c>
      <c r="K135" s="9"/>
      <c r="L135" s="9">
        <f>L129</f>
        <v>800</v>
      </c>
      <c r="M135" s="9">
        <f t="shared" si="360"/>
        <v>800</v>
      </c>
      <c r="N135" s="9">
        <v>0</v>
      </c>
      <c r="O135" s="72">
        <f t="shared" si="361"/>
        <v>800</v>
      </c>
      <c r="P135" s="74">
        <f t="shared" si="362"/>
        <v>80</v>
      </c>
      <c r="Q135" s="9"/>
      <c r="R135" s="27">
        <f t="shared" si="364"/>
        <v>144</v>
      </c>
      <c r="S135" s="27">
        <f t="shared" si="365"/>
        <v>40.320000000000007</v>
      </c>
      <c r="T135" s="27"/>
      <c r="U135" s="29">
        <f t="shared" si="366"/>
        <v>535.67999999999995</v>
      </c>
      <c r="V135" s="27">
        <f t="shared" si="367"/>
        <v>535.67999999999995</v>
      </c>
      <c r="W135" s="28"/>
      <c r="X135" s="13">
        <f t="shared" si="381"/>
        <v>3.0000000000000027E-2</v>
      </c>
      <c r="Y135" s="17">
        <f t="shared" si="369"/>
        <v>0.97</v>
      </c>
      <c r="Z135" s="5">
        <f t="shared" si="370"/>
        <v>663.60959999999989</v>
      </c>
      <c r="AA135" s="17"/>
      <c r="AB135" s="5">
        <f t="shared" si="371"/>
        <v>0</v>
      </c>
      <c r="AC135" s="67"/>
      <c r="AD135" s="5"/>
      <c r="AE135" s="67"/>
      <c r="AF135" s="4">
        <f t="shared" si="372"/>
        <v>0</v>
      </c>
      <c r="AG135" s="67"/>
      <c r="AH135" s="44">
        <f t="shared" si="373"/>
        <v>0</v>
      </c>
      <c r="AI135" s="17"/>
      <c r="AJ135" s="44">
        <f t="shared" si="374"/>
        <v>0</v>
      </c>
      <c r="AK135" s="67"/>
      <c r="AL135" s="44">
        <f t="shared" si="375"/>
        <v>0</v>
      </c>
      <c r="AM135" s="67"/>
      <c r="AN135" s="4">
        <f t="shared" si="376"/>
        <v>0</v>
      </c>
      <c r="AO135" s="67"/>
      <c r="AP135" s="4">
        <f t="shared" si="377"/>
        <v>0</v>
      </c>
      <c r="AQ135" s="17"/>
      <c r="AR135" s="4">
        <f t="shared" si="378"/>
        <v>0</v>
      </c>
      <c r="AS135" s="67"/>
      <c r="AT135" s="4">
        <f t="shared" si="379"/>
        <v>0</v>
      </c>
      <c r="AU135" s="73">
        <f t="shared" si="380"/>
        <v>16.070400000000014</v>
      </c>
    </row>
    <row r="136" spans="1:47" s="8" customFormat="1" x14ac:dyDescent="0.25">
      <c r="A136" s="21"/>
      <c r="B136" s="9">
        <f t="shared" si="357"/>
        <v>0</v>
      </c>
      <c r="C136" s="9"/>
      <c r="D136" s="9">
        <f t="shared" si="358"/>
        <v>0</v>
      </c>
      <c r="E136" s="10"/>
      <c r="F136" s="54" t="str">
        <f>F129</f>
        <v>Limeo</v>
      </c>
      <c r="G136" s="27" t="s">
        <v>46</v>
      </c>
      <c r="H136" s="54" t="s">
        <v>62</v>
      </c>
      <c r="I136" s="9" t="s">
        <v>8</v>
      </c>
      <c r="J136" s="5">
        <f t="shared" si="359"/>
        <v>1600</v>
      </c>
      <c r="K136" s="9"/>
      <c r="L136" s="9">
        <f>L129</f>
        <v>800</v>
      </c>
      <c r="M136" s="9">
        <f t="shared" si="360"/>
        <v>800</v>
      </c>
      <c r="N136" s="9">
        <v>0</v>
      </c>
      <c r="O136" s="72">
        <f t="shared" si="361"/>
        <v>800</v>
      </c>
      <c r="P136" s="74">
        <f t="shared" si="362"/>
        <v>80</v>
      </c>
      <c r="Q136" s="9"/>
      <c r="R136" s="27"/>
      <c r="S136" s="27">
        <f t="shared" si="365"/>
        <v>50.400000000000006</v>
      </c>
      <c r="T136" s="27"/>
      <c r="U136" s="29">
        <f t="shared" si="366"/>
        <v>669.6</v>
      </c>
      <c r="V136" s="27">
        <f t="shared" si="367"/>
        <v>669.6</v>
      </c>
      <c r="W136" s="28"/>
      <c r="X136" s="13">
        <f t="shared" si="381"/>
        <v>3.0000000000000068E-2</v>
      </c>
      <c r="Y136" s="17">
        <f t="shared" si="369"/>
        <v>0.91999999999999993</v>
      </c>
      <c r="Z136" s="5">
        <f t="shared" si="370"/>
        <v>616.03199999999993</v>
      </c>
      <c r="AA136" s="17">
        <v>0.05</v>
      </c>
      <c r="AB136" s="5">
        <f t="shared" si="371"/>
        <v>33.480000000000004</v>
      </c>
      <c r="AC136" s="67"/>
      <c r="AD136" s="5"/>
      <c r="AE136" s="67"/>
      <c r="AF136" s="4">
        <f t="shared" si="372"/>
        <v>0</v>
      </c>
      <c r="AG136" s="67"/>
      <c r="AH136" s="44">
        <f t="shared" si="373"/>
        <v>0</v>
      </c>
      <c r="AI136" s="17"/>
      <c r="AJ136" s="44">
        <f t="shared" si="374"/>
        <v>0</v>
      </c>
      <c r="AK136" s="67"/>
      <c r="AL136" s="44">
        <f t="shared" si="375"/>
        <v>0</v>
      </c>
      <c r="AM136" s="67"/>
      <c r="AN136" s="4">
        <f t="shared" si="376"/>
        <v>0</v>
      </c>
      <c r="AO136" s="67"/>
      <c r="AP136" s="4">
        <f t="shared" si="377"/>
        <v>0</v>
      </c>
      <c r="AQ136" s="17"/>
      <c r="AR136" s="4">
        <f t="shared" si="378"/>
        <v>0</v>
      </c>
      <c r="AS136" s="67"/>
      <c r="AT136" s="4">
        <f t="shared" si="379"/>
        <v>0</v>
      </c>
      <c r="AU136" s="73">
        <f t="shared" si="380"/>
        <v>20.088000000000047</v>
      </c>
    </row>
    <row r="137" spans="1:47" s="8" customFormat="1" x14ac:dyDescent="0.25">
      <c r="A137" s="21"/>
      <c r="B137" s="9">
        <f t="shared" si="357"/>
        <v>0</v>
      </c>
      <c r="C137" s="9"/>
      <c r="D137" s="9">
        <f t="shared" si="358"/>
        <v>0</v>
      </c>
      <c r="E137" s="10"/>
      <c r="F137" s="54" t="str">
        <f>F129</f>
        <v>Limeo</v>
      </c>
      <c r="G137" s="27" t="s">
        <v>46</v>
      </c>
      <c r="H137" s="54" t="s">
        <v>63</v>
      </c>
      <c r="I137" s="9" t="s">
        <v>9</v>
      </c>
      <c r="J137" s="5">
        <f t="shared" si="359"/>
        <v>1600</v>
      </c>
      <c r="K137" s="9"/>
      <c r="L137" s="9">
        <f>L129</f>
        <v>800</v>
      </c>
      <c r="M137" s="9">
        <f t="shared" si="360"/>
        <v>800</v>
      </c>
      <c r="N137" s="9"/>
      <c r="O137" s="72">
        <f t="shared" si="361"/>
        <v>800</v>
      </c>
      <c r="P137" s="74">
        <f t="shared" ref="P137" si="382">(M137-N137)*15%</f>
        <v>120</v>
      </c>
      <c r="Q137" s="9"/>
      <c r="R137" s="27"/>
      <c r="S137" s="27">
        <f t="shared" si="365"/>
        <v>47.6</v>
      </c>
      <c r="T137" s="27"/>
      <c r="U137" s="29">
        <f t="shared" si="366"/>
        <v>632.4</v>
      </c>
      <c r="V137" s="27">
        <f t="shared" si="367"/>
        <v>632.4</v>
      </c>
      <c r="W137" s="28"/>
      <c r="X137" s="13">
        <f>100%-Y137-AA137-AC137-AE137-AG137-AI137-AK137-AM137-AO137-AQ137</f>
        <v>3.0000000000000068E-2</v>
      </c>
      <c r="Y137" s="17">
        <f t="shared" si="369"/>
        <v>0.91999999999999993</v>
      </c>
      <c r="Z137" s="5">
        <f t="shared" si="370"/>
        <v>581.80799999999988</v>
      </c>
      <c r="AA137" s="17">
        <v>0.05</v>
      </c>
      <c r="AB137" s="5">
        <f t="shared" si="371"/>
        <v>31.62</v>
      </c>
      <c r="AC137" s="67"/>
      <c r="AD137" s="5"/>
      <c r="AE137" s="67"/>
      <c r="AF137" s="4">
        <f t="shared" si="372"/>
        <v>0</v>
      </c>
      <c r="AG137" s="67"/>
      <c r="AH137" s="44">
        <f t="shared" si="373"/>
        <v>0</v>
      </c>
      <c r="AI137" s="17"/>
      <c r="AJ137" s="44">
        <f t="shared" si="374"/>
        <v>0</v>
      </c>
      <c r="AK137" s="67"/>
      <c r="AL137" s="44">
        <f t="shared" si="375"/>
        <v>0</v>
      </c>
      <c r="AM137" s="67"/>
      <c r="AN137" s="4">
        <f t="shared" si="376"/>
        <v>0</v>
      </c>
      <c r="AO137" s="67"/>
      <c r="AP137" s="4">
        <f t="shared" si="377"/>
        <v>0</v>
      </c>
      <c r="AQ137" s="17"/>
      <c r="AR137" s="4">
        <f t="shared" si="378"/>
        <v>0</v>
      </c>
      <c r="AS137" s="67"/>
      <c r="AT137" s="4">
        <f t="shared" si="379"/>
        <v>0</v>
      </c>
      <c r="AU137" s="73">
        <f t="shared" si="380"/>
        <v>18.972000000000044</v>
      </c>
    </row>
    <row r="138" spans="1:47" s="8" customFormat="1" x14ac:dyDescent="0.25">
      <c r="A138" s="21"/>
      <c r="B138" s="9"/>
      <c r="C138" s="9"/>
      <c r="D138" s="9"/>
      <c r="E138" s="10"/>
      <c r="F138" s="54" t="str">
        <f>F129</f>
        <v>Limeo</v>
      </c>
      <c r="G138" s="27" t="s">
        <v>46</v>
      </c>
      <c r="H138" s="54" t="s">
        <v>64</v>
      </c>
      <c r="I138" s="9" t="s">
        <v>10</v>
      </c>
      <c r="J138" s="9">
        <f t="shared" si="359"/>
        <v>1600</v>
      </c>
      <c r="K138" s="5"/>
      <c r="L138" s="9">
        <f>L129</f>
        <v>800</v>
      </c>
      <c r="M138" s="9">
        <f t="shared" si="360"/>
        <v>800</v>
      </c>
      <c r="N138" s="5"/>
      <c r="O138" s="72">
        <f t="shared" si="361"/>
        <v>800</v>
      </c>
      <c r="P138" s="74">
        <f t="shared" ref="P138:P140" si="383">(M138-N138)*5%</f>
        <v>40</v>
      </c>
      <c r="Q138" s="9"/>
      <c r="R138" s="27"/>
      <c r="S138" s="27">
        <f t="shared" ref="S138:S140" si="384">(O138-P138)*7%</f>
        <v>53.2</v>
      </c>
      <c r="T138" s="27"/>
      <c r="U138" s="29">
        <f t="shared" si="366"/>
        <v>706.8</v>
      </c>
      <c r="V138" s="27">
        <f t="shared" si="367"/>
        <v>706.8</v>
      </c>
      <c r="W138" s="28"/>
      <c r="X138" s="13">
        <f t="shared" ref="X138:X140" si="385">100%-Y138-AA138-AC138-AE138-AG138-AI138-AK138-AM138-AO138-AQ138</f>
        <v>9.9999999999999811E-3</v>
      </c>
      <c r="Y138" s="17">
        <f t="shared" ref="Y138:Y140" si="386">(99%-AA138-AC138-AE138-AG138-AI138-AK138-AM138-AO138-AQ138)</f>
        <v>0.78</v>
      </c>
      <c r="Z138" s="9">
        <f t="shared" si="370"/>
        <v>551.30399999999997</v>
      </c>
      <c r="AA138" s="17">
        <v>0.15</v>
      </c>
      <c r="AB138" s="5">
        <f t="shared" si="371"/>
        <v>106.02</v>
      </c>
      <c r="AC138" s="17">
        <v>0.06</v>
      </c>
      <c r="AD138" s="9">
        <f t="shared" ref="AD138:AD140" si="387">V138*AC138</f>
        <v>42.407999999999994</v>
      </c>
      <c r="AE138" s="67"/>
      <c r="AF138" s="4">
        <f t="shared" si="372"/>
        <v>0</v>
      </c>
      <c r="AG138" s="67"/>
      <c r="AH138" s="57">
        <f t="shared" si="373"/>
        <v>0</v>
      </c>
      <c r="AI138" s="17"/>
      <c r="AJ138" s="57">
        <f t="shared" si="374"/>
        <v>0</v>
      </c>
      <c r="AK138" s="67"/>
      <c r="AL138" s="57">
        <f t="shared" si="375"/>
        <v>0</v>
      </c>
      <c r="AM138" s="67"/>
      <c r="AN138" s="9">
        <f t="shared" si="376"/>
        <v>0</v>
      </c>
      <c r="AO138" s="67"/>
      <c r="AP138" s="10">
        <f t="shared" si="377"/>
        <v>0</v>
      </c>
      <c r="AQ138" s="17"/>
      <c r="AR138" s="10">
        <f t="shared" si="378"/>
        <v>0</v>
      </c>
      <c r="AS138" s="67"/>
      <c r="AT138" s="10">
        <f t="shared" si="379"/>
        <v>0</v>
      </c>
      <c r="AU138" s="73">
        <f t="shared" si="380"/>
        <v>7.0679999999999863</v>
      </c>
    </row>
    <row r="139" spans="1:47" s="8" customFormat="1" x14ac:dyDescent="0.25">
      <c r="A139" s="21"/>
      <c r="B139" s="9">
        <f t="shared" si="357"/>
        <v>0</v>
      </c>
      <c r="C139" s="9"/>
      <c r="D139" s="9">
        <f t="shared" si="358"/>
        <v>0</v>
      </c>
      <c r="E139" s="10"/>
      <c r="F139" s="54" t="str">
        <f>F129</f>
        <v>Limeo</v>
      </c>
      <c r="G139" s="27" t="s">
        <v>46</v>
      </c>
      <c r="H139" s="54" t="s">
        <v>65</v>
      </c>
      <c r="I139" s="9" t="s">
        <v>11</v>
      </c>
      <c r="J139" s="5">
        <f t="shared" si="359"/>
        <v>1600</v>
      </c>
      <c r="K139" s="9"/>
      <c r="L139" s="9">
        <f>L129</f>
        <v>800</v>
      </c>
      <c r="M139" s="9"/>
      <c r="N139" s="9">
        <v>0</v>
      </c>
      <c r="O139" s="72">
        <f t="shared" si="361"/>
        <v>0</v>
      </c>
      <c r="P139" s="74">
        <f t="shared" si="383"/>
        <v>0</v>
      </c>
      <c r="Q139" s="9"/>
      <c r="R139" s="27"/>
      <c r="S139" s="27">
        <f t="shared" si="384"/>
        <v>0</v>
      </c>
      <c r="T139" s="27"/>
      <c r="U139" s="29">
        <f t="shared" si="366"/>
        <v>0</v>
      </c>
      <c r="V139" s="27">
        <f t="shared" si="367"/>
        <v>0</v>
      </c>
      <c r="W139" s="28"/>
      <c r="X139" s="13">
        <f t="shared" si="385"/>
        <v>9.9999999999999811E-3</v>
      </c>
      <c r="Y139" s="17">
        <f t="shared" si="386"/>
        <v>0.78</v>
      </c>
      <c r="Z139" s="9">
        <f t="shared" si="370"/>
        <v>0</v>
      </c>
      <c r="AA139" s="17">
        <v>0.15</v>
      </c>
      <c r="AB139" s="5">
        <f t="shared" si="371"/>
        <v>0</v>
      </c>
      <c r="AC139" s="17">
        <v>0.06</v>
      </c>
      <c r="AD139" s="9">
        <f t="shared" si="387"/>
        <v>0</v>
      </c>
      <c r="AE139" s="17"/>
      <c r="AF139" s="4">
        <f t="shared" si="372"/>
        <v>0</v>
      </c>
      <c r="AG139" s="17"/>
      <c r="AH139" s="44">
        <f t="shared" si="373"/>
        <v>0</v>
      </c>
      <c r="AI139" s="17"/>
      <c r="AJ139" s="44">
        <f t="shared" si="374"/>
        <v>0</v>
      </c>
      <c r="AK139" s="17"/>
      <c r="AL139" s="44">
        <f t="shared" si="375"/>
        <v>0</v>
      </c>
      <c r="AM139" s="17"/>
      <c r="AN139" s="5">
        <f t="shared" si="376"/>
        <v>0</v>
      </c>
      <c r="AO139" s="17"/>
      <c r="AP139" s="4">
        <f t="shared" si="377"/>
        <v>0</v>
      </c>
      <c r="AQ139" s="17"/>
      <c r="AR139" s="4">
        <f t="shared" si="378"/>
        <v>0</v>
      </c>
      <c r="AS139" s="17"/>
      <c r="AT139" s="4">
        <f t="shared" si="379"/>
        <v>0</v>
      </c>
      <c r="AU139" s="73">
        <f t="shared" si="380"/>
        <v>0</v>
      </c>
    </row>
    <row r="140" spans="1:47" s="8" customFormat="1" x14ac:dyDescent="0.25">
      <c r="A140" s="21"/>
      <c r="B140" s="9">
        <f t="shared" si="357"/>
        <v>0</v>
      </c>
      <c r="C140" s="9"/>
      <c r="D140" s="9">
        <f t="shared" si="358"/>
        <v>0</v>
      </c>
      <c r="E140" s="10"/>
      <c r="F140" s="54" t="str">
        <f>F129</f>
        <v>Limeo</v>
      </c>
      <c r="G140" s="27" t="s">
        <v>46</v>
      </c>
      <c r="H140" s="54" t="s">
        <v>66</v>
      </c>
      <c r="I140" s="9" t="s">
        <v>12</v>
      </c>
      <c r="J140" s="5">
        <f t="shared" si="359"/>
        <v>1600</v>
      </c>
      <c r="K140" s="9"/>
      <c r="L140" s="9">
        <f>L129</f>
        <v>800</v>
      </c>
      <c r="M140" s="9"/>
      <c r="N140" s="9">
        <v>0</v>
      </c>
      <c r="O140" s="72">
        <f t="shared" si="361"/>
        <v>0</v>
      </c>
      <c r="P140" s="74">
        <f t="shared" si="383"/>
        <v>0</v>
      </c>
      <c r="Q140" s="9"/>
      <c r="R140" s="27"/>
      <c r="S140" s="27">
        <f t="shared" si="384"/>
        <v>0</v>
      </c>
      <c r="T140" s="27"/>
      <c r="U140" s="29">
        <f t="shared" si="366"/>
        <v>0</v>
      </c>
      <c r="V140" s="27">
        <f t="shared" si="367"/>
        <v>0</v>
      </c>
      <c r="W140" s="28"/>
      <c r="X140" s="13">
        <f t="shared" si="385"/>
        <v>9.9999999999999811E-3</v>
      </c>
      <c r="Y140" s="17">
        <f t="shared" si="386"/>
        <v>0.78</v>
      </c>
      <c r="Z140" s="9">
        <f t="shared" si="370"/>
        <v>0</v>
      </c>
      <c r="AA140" s="17">
        <v>0.15</v>
      </c>
      <c r="AB140" s="5">
        <f t="shared" si="371"/>
        <v>0</v>
      </c>
      <c r="AC140" s="17">
        <v>0.06</v>
      </c>
      <c r="AD140" s="9">
        <f t="shared" si="387"/>
        <v>0</v>
      </c>
      <c r="AE140" s="17"/>
      <c r="AF140" s="4">
        <f t="shared" si="372"/>
        <v>0</v>
      </c>
      <c r="AG140" s="17"/>
      <c r="AH140" s="44">
        <f t="shared" si="373"/>
        <v>0</v>
      </c>
      <c r="AI140" s="17"/>
      <c r="AJ140" s="44">
        <f t="shared" si="374"/>
        <v>0</v>
      </c>
      <c r="AK140" s="17"/>
      <c r="AL140" s="44">
        <f t="shared" si="375"/>
        <v>0</v>
      </c>
      <c r="AM140" s="17"/>
      <c r="AN140" s="5">
        <f t="shared" si="376"/>
        <v>0</v>
      </c>
      <c r="AO140" s="17"/>
      <c r="AP140" s="4">
        <f t="shared" si="377"/>
        <v>0</v>
      </c>
      <c r="AQ140" s="17"/>
      <c r="AR140" s="4">
        <f t="shared" si="378"/>
        <v>0</v>
      </c>
      <c r="AS140" s="17"/>
      <c r="AT140" s="4">
        <f t="shared" si="379"/>
        <v>0</v>
      </c>
      <c r="AU140" s="73">
        <f t="shared" si="380"/>
        <v>0</v>
      </c>
    </row>
    <row r="141" spans="1:47" x14ac:dyDescent="0.25">
      <c r="A141" s="21"/>
      <c r="C141" s="9"/>
      <c r="D141" s="10"/>
      <c r="E141" s="10"/>
      <c r="F141" s="8"/>
      <c r="G141" s="8"/>
      <c r="H141" s="8"/>
      <c r="I141" s="9"/>
      <c r="J141" s="9"/>
      <c r="K141" s="9"/>
      <c r="L141" s="9"/>
      <c r="M141" s="9"/>
      <c r="N141" s="9"/>
      <c r="O141" s="9"/>
      <c r="P141" s="9"/>
      <c r="Q141" s="9"/>
      <c r="Z141" s="5"/>
      <c r="AB141" s="5"/>
      <c r="AD141" s="5"/>
      <c r="AH141" s="44"/>
      <c r="AJ141" s="44"/>
      <c r="AL141" s="44"/>
      <c r="AN141" s="5"/>
      <c r="AP141" s="5"/>
      <c r="AR141" s="5"/>
      <c r="AT141" s="5"/>
    </row>
    <row r="142" spans="1:47" s="8" customFormat="1" x14ac:dyDescent="0.25">
      <c r="A142" s="21" t="s">
        <v>22</v>
      </c>
      <c r="B142" s="9">
        <f>IF(A142="",0,((U142)*10%))</f>
        <v>19.756799999999998</v>
      </c>
      <c r="C142" s="9"/>
      <c r="D142" s="9">
        <f>IF(C142="",0,((U142)*5%))</f>
        <v>0</v>
      </c>
      <c r="E142" s="10"/>
      <c r="F142" s="54" t="s">
        <v>42</v>
      </c>
      <c r="G142" s="27" t="s">
        <v>46</v>
      </c>
      <c r="H142" s="54" t="s">
        <v>55</v>
      </c>
      <c r="I142" s="5" t="s">
        <v>3</v>
      </c>
      <c r="J142" s="5">
        <f t="shared" ref="J142:J144" si="388">L142*2</f>
        <v>686</v>
      </c>
      <c r="K142" s="5"/>
      <c r="L142" s="9">
        <v>343</v>
      </c>
      <c r="M142" s="9">
        <f t="shared" ref="M142:M145" si="389">L142</f>
        <v>343</v>
      </c>
      <c r="N142" s="9"/>
      <c r="O142" s="72">
        <f t="shared" ref="O142:O146" si="390">M142-N142</f>
        <v>343</v>
      </c>
      <c r="P142" s="74">
        <f t="shared" ref="P142:P144" si="391">(M142-N142)*10%</f>
        <v>34.300000000000004</v>
      </c>
      <c r="Q142" s="9">
        <f t="shared" ref="Q142:Q144" si="392">(M142-N142)*10%</f>
        <v>34.300000000000004</v>
      </c>
      <c r="R142" s="27">
        <f>(M142-N142-P142-Q142)*20%</f>
        <v>54.879999999999995</v>
      </c>
      <c r="S142" s="27">
        <f>(M142-N142-P142-Q142-R142)*10%</f>
        <v>21.951999999999998</v>
      </c>
      <c r="T142" s="27">
        <f>(M142-N142-P142-Q142-R142-S142)*10%</f>
        <v>19.756799999999998</v>
      </c>
      <c r="U142" s="29">
        <f>M142-N142-P142-Q142-R142-S142</f>
        <v>197.56799999999998</v>
      </c>
      <c r="V142" s="27">
        <f>U142-B142-D142</f>
        <v>177.81119999999999</v>
      </c>
      <c r="W142" s="28"/>
      <c r="X142" s="13">
        <f t="shared" ref="X142:X144" si="393">100%-Y142-AA142-AC142-AE142-AG142-AI142-AK142-AM142-AO142-AQ142</f>
        <v>3.0000000000000027E-2</v>
      </c>
      <c r="Y142" s="17">
        <f t="shared" ref="Y142:Y144" si="394">(97%-AA142-AC142-AE142-AG142-AI142-AK142-AM142-AO142-AQ142)</f>
        <v>0.97</v>
      </c>
      <c r="Z142" s="5">
        <f>(V142*Y142)+Q142+R142</f>
        <v>261.65686399999998</v>
      </c>
      <c r="AA142" s="17"/>
      <c r="AB142" s="5">
        <f t="shared" ref="AB142:AB146" si="395">(V142*AA142)</f>
        <v>0</v>
      </c>
      <c r="AC142" s="67"/>
      <c r="AD142" s="5"/>
      <c r="AE142" s="67"/>
      <c r="AF142" s="4">
        <f t="shared" ref="AF142:AF146" si="396">V142*AE142</f>
        <v>0</v>
      </c>
      <c r="AG142" s="67"/>
      <c r="AH142" s="44">
        <f t="shared" ref="AH142:AH146" si="397">V142*AG142</f>
        <v>0</v>
      </c>
      <c r="AI142" s="17"/>
      <c r="AJ142" s="44">
        <f t="shared" ref="AJ142:AJ146" si="398">V142*AI142</f>
        <v>0</v>
      </c>
      <c r="AK142" s="67"/>
      <c r="AL142" s="44">
        <f t="shared" ref="AL142:AL146" si="399">V142*AK142</f>
        <v>0</v>
      </c>
      <c r="AM142" s="67"/>
      <c r="AN142" s="4">
        <f t="shared" ref="AN142:AN146" si="400">V142*AM142</f>
        <v>0</v>
      </c>
      <c r="AO142" s="67"/>
      <c r="AP142" s="4">
        <f t="shared" ref="AP142:AP146" si="401">V142*AO142</f>
        <v>0</v>
      </c>
      <c r="AQ142" s="17"/>
      <c r="AR142" s="4">
        <f t="shared" ref="AR142:AR146" si="402">V142*AQ142</f>
        <v>0</v>
      </c>
      <c r="AS142" s="67"/>
      <c r="AT142" s="4">
        <f t="shared" ref="AT142:AT146" si="403">X142*AS142</f>
        <v>0</v>
      </c>
      <c r="AU142" s="73">
        <f t="shared" ref="AU142:AU146" si="404">V142*X142</f>
        <v>5.334336000000004</v>
      </c>
    </row>
    <row r="143" spans="1:47" s="8" customFormat="1" x14ac:dyDescent="0.25">
      <c r="A143" s="21" t="str">
        <f>A142</f>
        <v>Donovan</v>
      </c>
      <c r="B143" s="9">
        <f>IF(A143="",0,((U143)*10%))</f>
        <v>19.756799999999998</v>
      </c>
      <c r="C143" s="9"/>
      <c r="D143" s="9">
        <f>IF(C143="",0,((U143)*5%))</f>
        <v>0</v>
      </c>
      <c r="E143" s="10"/>
      <c r="F143" s="54" t="str">
        <f>F142</f>
        <v>WineMoment</v>
      </c>
      <c r="G143" s="27" t="s">
        <v>46</v>
      </c>
      <c r="H143" s="54" t="s">
        <v>56</v>
      </c>
      <c r="I143" s="9" t="s">
        <v>4</v>
      </c>
      <c r="J143" s="5">
        <f t="shared" si="388"/>
        <v>686</v>
      </c>
      <c r="K143" s="9"/>
      <c r="L143" s="9">
        <f>L142</f>
        <v>343</v>
      </c>
      <c r="M143" s="9">
        <f t="shared" si="389"/>
        <v>343</v>
      </c>
      <c r="N143" s="9"/>
      <c r="O143" s="72">
        <f t="shared" si="390"/>
        <v>343</v>
      </c>
      <c r="P143" s="74">
        <f t="shared" si="391"/>
        <v>34.300000000000004</v>
      </c>
      <c r="Q143" s="9">
        <f t="shared" si="392"/>
        <v>34.300000000000004</v>
      </c>
      <c r="R143" s="27">
        <f>(M143-N143-P143-Q143)*20%</f>
        <v>54.879999999999995</v>
      </c>
      <c r="S143" s="27">
        <f>(M143-N143-P143-Q143-R143)*10%</f>
        <v>21.951999999999998</v>
      </c>
      <c r="T143" s="27">
        <f>(M143-N143-P143-Q143-R143-S143)*10%</f>
        <v>19.756799999999998</v>
      </c>
      <c r="U143" s="29">
        <f>M143-N143-P143-Q143-R143-S143</f>
        <v>197.56799999999998</v>
      </c>
      <c r="V143" s="27">
        <f>U143-B143-D143</f>
        <v>177.81119999999999</v>
      </c>
      <c r="W143" s="28"/>
      <c r="X143" s="13">
        <f t="shared" si="393"/>
        <v>3.0000000000000027E-2</v>
      </c>
      <c r="Y143" s="17">
        <f t="shared" si="394"/>
        <v>0.97</v>
      </c>
      <c r="Z143" s="5">
        <f>(V143*Y143)+Q143+R143</f>
        <v>261.65686399999998</v>
      </c>
      <c r="AA143" s="17"/>
      <c r="AB143" s="5">
        <f t="shared" si="395"/>
        <v>0</v>
      </c>
      <c r="AC143" s="67"/>
      <c r="AD143" s="5"/>
      <c r="AE143" s="67"/>
      <c r="AF143" s="4">
        <f t="shared" si="396"/>
        <v>0</v>
      </c>
      <c r="AG143" s="67"/>
      <c r="AH143" s="44">
        <f t="shared" si="397"/>
        <v>0</v>
      </c>
      <c r="AI143" s="17"/>
      <c r="AJ143" s="44">
        <f t="shared" si="398"/>
        <v>0</v>
      </c>
      <c r="AK143" s="67"/>
      <c r="AL143" s="44">
        <f t="shared" si="399"/>
        <v>0</v>
      </c>
      <c r="AM143" s="67"/>
      <c r="AN143" s="4">
        <f t="shared" si="400"/>
        <v>0</v>
      </c>
      <c r="AO143" s="67"/>
      <c r="AP143" s="4">
        <f t="shared" si="401"/>
        <v>0</v>
      </c>
      <c r="AQ143" s="17"/>
      <c r="AR143" s="4">
        <f t="shared" si="402"/>
        <v>0</v>
      </c>
      <c r="AS143" s="67"/>
      <c r="AT143" s="4">
        <f t="shared" si="403"/>
        <v>0</v>
      </c>
      <c r="AU143" s="73">
        <f t="shared" si="404"/>
        <v>5.334336000000004</v>
      </c>
    </row>
    <row r="144" spans="1:47" s="8" customFormat="1" x14ac:dyDescent="0.25">
      <c r="A144" s="21" t="str">
        <f>A142</f>
        <v>Donovan</v>
      </c>
      <c r="B144" s="9">
        <f>IF(A144="",0,((U144)*10%))</f>
        <v>19.756799999999998</v>
      </c>
      <c r="C144" s="9"/>
      <c r="D144" s="9">
        <f>IF(C144="",0,((U144)*5%))</f>
        <v>0</v>
      </c>
      <c r="E144" s="10"/>
      <c r="F144" s="54" t="str">
        <f>F142</f>
        <v>WineMoment</v>
      </c>
      <c r="G144" s="27" t="s">
        <v>46</v>
      </c>
      <c r="H144" s="54" t="s">
        <v>57</v>
      </c>
      <c r="I144" s="9" t="s">
        <v>5</v>
      </c>
      <c r="J144" s="5">
        <f t="shared" si="388"/>
        <v>686</v>
      </c>
      <c r="K144" s="9"/>
      <c r="L144" s="9">
        <f>L142</f>
        <v>343</v>
      </c>
      <c r="M144" s="9">
        <f t="shared" si="389"/>
        <v>343</v>
      </c>
      <c r="N144" s="9"/>
      <c r="O144" s="72">
        <f t="shared" si="390"/>
        <v>343</v>
      </c>
      <c r="P144" s="74">
        <f t="shared" si="391"/>
        <v>34.300000000000004</v>
      </c>
      <c r="Q144" s="9">
        <f t="shared" si="392"/>
        <v>34.300000000000004</v>
      </c>
      <c r="R144" s="27">
        <f>(M144-N144-P144-Q144)*20%</f>
        <v>54.879999999999995</v>
      </c>
      <c r="S144" s="27">
        <f>(M144-N144-P144-Q144-R144)*10%</f>
        <v>21.951999999999998</v>
      </c>
      <c r="T144" s="27">
        <f>(M144-N144-P144-Q144-R144-S144)*10%</f>
        <v>19.756799999999998</v>
      </c>
      <c r="U144" s="29">
        <f>M144-N144-P144-Q144-R144-S144</f>
        <v>197.56799999999998</v>
      </c>
      <c r="V144" s="27">
        <f>U144-B144-D144</f>
        <v>177.81119999999999</v>
      </c>
      <c r="W144" s="28"/>
      <c r="X144" s="13">
        <f t="shared" si="393"/>
        <v>3.0000000000000027E-2</v>
      </c>
      <c r="Y144" s="17">
        <f t="shared" si="394"/>
        <v>0.97</v>
      </c>
      <c r="Z144" s="5">
        <f>(V144*Y144)+Q144+R144</f>
        <v>261.65686399999998</v>
      </c>
      <c r="AA144" s="17"/>
      <c r="AB144" s="5">
        <f t="shared" si="395"/>
        <v>0</v>
      </c>
      <c r="AC144" s="67"/>
      <c r="AD144" s="5"/>
      <c r="AE144" s="67"/>
      <c r="AF144" s="4">
        <f t="shared" si="396"/>
        <v>0</v>
      </c>
      <c r="AG144" s="67"/>
      <c r="AH144" s="44">
        <f t="shared" si="397"/>
        <v>0</v>
      </c>
      <c r="AI144" s="17"/>
      <c r="AJ144" s="44">
        <f t="shared" si="398"/>
        <v>0</v>
      </c>
      <c r="AK144" s="67"/>
      <c r="AL144" s="44">
        <f t="shared" si="399"/>
        <v>0</v>
      </c>
      <c r="AM144" s="67"/>
      <c r="AN144" s="4">
        <f t="shared" si="400"/>
        <v>0</v>
      </c>
      <c r="AO144" s="67"/>
      <c r="AP144" s="4">
        <f t="shared" si="401"/>
        <v>0</v>
      </c>
      <c r="AQ144" s="17"/>
      <c r="AR144" s="4">
        <f t="shared" si="402"/>
        <v>0</v>
      </c>
      <c r="AS144" s="67"/>
      <c r="AT144" s="4">
        <f t="shared" si="403"/>
        <v>0</v>
      </c>
      <c r="AU144" s="73">
        <f t="shared" si="404"/>
        <v>5.334336000000004</v>
      </c>
    </row>
    <row r="145" spans="1:47" s="8" customFormat="1" x14ac:dyDescent="0.25">
      <c r="A145" s="76"/>
      <c r="B145" s="70"/>
      <c r="C145" s="70"/>
      <c r="D145" s="70"/>
      <c r="E145" s="77"/>
      <c r="F145" s="71" t="s">
        <v>42</v>
      </c>
      <c r="G145" s="70" t="s">
        <v>46</v>
      </c>
      <c r="H145" s="71" t="s">
        <v>189</v>
      </c>
      <c r="I145" s="9" t="s">
        <v>10</v>
      </c>
      <c r="J145" s="5">
        <f t="shared" ref="J145" si="405">L145</f>
        <v>554</v>
      </c>
      <c r="K145" s="9"/>
      <c r="L145" s="9">
        <v>554</v>
      </c>
      <c r="M145" s="9">
        <f t="shared" si="389"/>
        <v>554</v>
      </c>
      <c r="N145" s="9"/>
      <c r="O145" s="72">
        <f t="shared" ref="O145" si="406">M145-N145</f>
        <v>554</v>
      </c>
      <c r="P145" s="9"/>
      <c r="Q145" s="9"/>
      <c r="R145" s="70"/>
      <c r="S145" s="70"/>
      <c r="T145" s="70"/>
      <c r="U145" s="79"/>
      <c r="V145" s="70"/>
      <c r="W145" s="77"/>
      <c r="X145" s="115"/>
      <c r="Y145" s="17"/>
      <c r="Z145" s="5">
        <f>(V145*Y145)+Q145+R145</f>
        <v>0</v>
      </c>
      <c r="AA145" s="17"/>
      <c r="AB145" s="5">
        <f t="shared" ref="AB145" si="407">(V145*AA145)</f>
        <v>0</v>
      </c>
      <c r="AC145" s="17"/>
      <c r="AD145" s="5"/>
      <c r="AE145" s="17"/>
      <c r="AF145" s="4">
        <f t="shared" ref="AF145" si="408">V145*AE145</f>
        <v>0</v>
      </c>
      <c r="AG145" s="17"/>
      <c r="AH145" s="44">
        <f t="shared" ref="AH145" si="409">V145*AG145</f>
        <v>0</v>
      </c>
      <c r="AI145" s="17"/>
      <c r="AJ145" s="44">
        <f t="shared" ref="AJ145" si="410">V145*AI145</f>
        <v>0</v>
      </c>
      <c r="AK145" s="67"/>
      <c r="AL145" s="44">
        <f t="shared" ref="AL145" si="411">V145*AK145</f>
        <v>0</v>
      </c>
      <c r="AM145" s="67"/>
      <c r="AN145" s="4">
        <f t="shared" ref="AN145" si="412">V145*AM145</f>
        <v>0</v>
      </c>
      <c r="AO145" s="67"/>
      <c r="AP145" s="4">
        <f t="shared" ref="AP145" si="413">V145*AO145</f>
        <v>0</v>
      </c>
      <c r="AQ145" s="17"/>
      <c r="AR145" s="4">
        <f t="shared" ref="AR145" si="414">V145*AQ145</f>
        <v>0</v>
      </c>
      <c r="AS145" s="67"/>
      <c r="AT145" s="4">
        <f t="shared" ref="AT145" si="415">X145*AS145</f>
        <v>0</v>
      </c>
      <c r="AU145" s="73">
        <f t="shared" ref="AU145" si="416">V145*X145</f>
        <v>0</v>
      </c>
    </row>
    <row r="146" spans="1:47" s="8" customFormat="1" x14ac:dyDescent="0.25">
      <c r="A146" s="21"/>
      <c r="B146" s="9">
        <f>IF(A146="",0,((U146)*10%))</f>
        <v>0</v>
      </c>
      <c r="C146" s="9"/>
      <c r="D146" s="9">
        <f>IF(C146="",0,((O146)*5%))</f>
        <v>0</v>
      </c>
      <c r="E146" s="10"/>
      <c r="F146" s="71" t="str">
        <f>F142</f>
        <v>WineMoment</v>
      </c>
      <c r="G146" s="70" t="s">
        <v>46</v>
      </c>
      <c r="H146" s="71" t="s">
        <v>189</v>
      </c>
      <c r="I146" s="9" t="s">
        <v>11</v>
      </c>
      <c r="J146" s="5">
        <f t="shared" ref="J146" si="417">L146</f>
        <v>1936</v>
      </c>
      <c r="K146" s="9"/>
      <c r="L146" s="9">
        <v>1936</v>
      </c>
      <c r="M146" s="9"/>
      <c r="N146" s="9"/>
      <c r="O146" s="72">
        <f t="shared" si="390"/>
        <v>0</v>
      </c>
      <c r="P146" s="9"/>
      <c r="Q146" s="9"/>
      <c r="R146" s="70"/>
      <c r="S146" s="70"/>
      <c r="T146" s="70"/>
      <c r="U146" s="79"/>
      <c r="V146" s="70"/>
      <c r="W146" s="77"/>
      <c r="X146" s="115"/>
      <c r="Y146" s="17"/>
      <c r="Z146" s="5">
        <f>(V146*Y146)+Q146+R146</f>
        <v>0</v>
      </c>
      <c r="AA146" s="17"/>
      <c r="AB146" s="5">
        <f t="shared" si="395"/>
        <v>0</v>
      </c>
      <c r="AC146" s="17"/>
      <c r="AD146" s="5"/>
      <c r="AE146" s="17"/>
      <c r="AF146" s="4">
        <f t="shared" si="396"/>
        <v>0</v>
      </c>
      <c r="AG146" s="17"/>
      <c r="AH146" s="44">
        <f t="shared" si="397"/>
        <v>0</v>
      </c>
      <c r="AI146" s="17"/>
      <c r="AJ146" s="44">
        <f t="shared" si="398"/>
        <v>0</v>
      </c>
      <c r="AK146" s="67"/>
      <c r="AL146" s="44">
        <f t="shared" si="399"/>
        <v>0</v>
      </c>
      <c r="AM146" s="67"/>
      <c r="AN146" s="4">
        <f t="shared" si="400"/>
        <v>0</v>
      </c>
      <c r="AO146" s="67"/>
      <c r="AP146" s="4">
        <f t="shared" si="401"/>
        <v>0</v>
      </c>
      <c r="AQ146" s="17"/>
      <c r="AR146" s="4">
        <f t="shared" si="402"/>
        <v>0</v>
      </c>
      <c r="AS146" s="67"/>
      <c r="AT146" s="4">
        <f t="shared" si="403"/>
        <v>0</v>
      </c>
      <c r="AU146" s="73">
        <f t="shared" si="404"/>
        <v>0</v>
      </c>
    </row>
    <row r="147" spans="1:47" x14ac:dyDescent="0.25">
      <c r="A147" s="9"/>
      <c r="C147" s="9"/>
      <c r="D147" s="9"/>
      <c r="E147" s="9"/>
      <c r="F147" s="8"/>
      <c r="G147" s="8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14"/>
      <c r="S147" s="10"/>
      <c r="T147" s="10"/>
      <c r="U147" s="16"/>
      <c r="V147" s="10"/>
      <c r="W147" s="16"/>
      <c r="X147" s="16"/>
      <c r="Y147" s="17"/>
      <c r="Z147" s="10"/>
      <c r="AA147" s="17"/>
      <c r="AB147" s="4"/>
      <c r="AC147" s="67"/>
      <c r="AD147" s="10"/>
      <c r="AE147" s="67"/>
      <c r="AF147" s="10"/>
      <c r="AG147" s="67"/>
      <c r="AI147" s="17"/>
      <c r="AK147" s="67"/>
      <c r="AM147" s="67"/>
      <c r="AN147" s="10"/>
      <c r="AO147" s="67"/>
      <c r="AP147" s="10"/>
      <c r="AQ147" s="17"/>
      <c r="AR147" s="10"/>
      <c r="AS147" s="67"/>
      <c r="AT147" s="10"/>
    </row>
    <row r="148" spans="1:47" s="8" customFormat="1" x14ac:dyDescent="0.25">
      <c r="A148" s="21"/>
      <c r="B148" s="9">
        <f t="shared" ref="B148:B156" si="418">IF(A148="",0,((U148)*10%))</f>
        <v>0</v>
      </c>
      <c r="C148" s="9"/>
      <c r="D148" s="9">
        <f t="shared" ref="D148:D156" si="419">IF(C148="",0,((U148)*5%))</f>
        <v>0</v>
      </c>
      <c r="E148" s="10"/>
      <c r="F148" s="54" t="s">
        <v>70</v>
      </c>
      <c r="G148" s="27" t="s">
        <v>46</v>
      </c>
      <c r="H148" s="54" t="s">
        <v>55</v>
      </c>
      <c r="I148" s="5" t="s">
        <v>3</v>
      </c>
      <c r="J148" s="5">
        <f t="shared" ref="J148:J157" si="420">L148*2</f>
        <v>1128</v>
      </c>
      <c r="K148" s="5"/>
      <c r="L148" s="9">
        <v>564</v>
      </c>
      <c r="M148" s="9">
        <f t="shared" ref="M148:M156" si="421">L148</f>
        <v>564</v>
      </c>
      <c r="N148" s="9"/>
      <c r="O148" s="72">
        <f t="shared" ref="O148:O156" si="422">M148-N148</f>
        <v>564</v>
      </c>
      <c r="P148" s="74">
        <f t="shared" ref="P148:P156" si="423">(M148-N148)*10%</f>
        <v>56.400000000000006</v>
      </c>
      <c r="Q148" s="9">
        <f t="shared" ref="Q148:Q153" si="424">(M148-N148)*10%</f>
        <v>56.400000000000006</v>
      </c>
      <c r="R148" s="27">
        <f t="shared" ref="R148:R153" si="425">(M148-N148-P148-Q148)*10%</f>
        <v>45.120000000000005</v>
      </c>
      <c r="S148" s="27"/>
      <c r="T148" s="27"/>
      <c r="U148" s="29">
        <f t="shared" ref="U148:U157" si="426">M148-N148-P148-Q148-R148-S148</f>
        <v>406.08000000000004</v>
      </c>
      <c r="V148" s="27">
        <f t="shared" ref="V148:V157" si="427">U148-B148-D148</f>
        <v>406.08000000000004</v>
      </c>
      <c r="W148" s="28"/>
      <c r="X148" s="13">
        <f t="shared" ref="X148:X151" si="428">100%-Y148-AA148-AC148-AE148-AG148-AI148-AK148-AM148-AO148-AQ148</f>
        <v>3.0000000000000027E-2</v>
      </c>
      <c r="Y148" s="17">
        <f t="shared" ref="Y148:Y156" si="429">(97%-AA148-AC148-AE148-AG148-AI148-AK148-AM148-AO148-AQ148)</f>
        <v>0.97</v>
      </c>
      <c r="Z148" s="5">
        <f t="shared" ref="Z148:Z157" si="430">(V148*Y148)+Q148+R148</f>
        <v>495.41759999999999</v>
      </c>
      <c r="AA148" s="17"/>
      <c r="AB148" s="5">
        <f t="shared" ref="AB148:AB156" si="431">(V148*AA148)</f>
        <v>0</v>
      </c>
      <c r="AC148" s="67"/>
      <c r="AD148" s="5"/>
      <c r="AE148" s="67"/>
      <c r="AF148" s="4">
        <f t="shared" ref="AF148:AF157" si="432">V148*AE148</f>
        <v>0</v>
      </c>
      <c r="AG148" s="67"/>
      <c r="AH148" s="44">
        <f t="shared" ref="AH148:AH157" si="433">V148*AG148</f>
        <v>0</v>
      </c>
      <c r="AI148" s="17"/>
      <c r="AJ148" s="44">
        <f t="shared" ref="AJ148:AJ157" si="434">V148*AI148</f>
        <v>0</v>
      </c>
      <c r="AK148" s="67"/>
      <c r="AL148" s="44">
        <f t="shared" ref="AL148:AL157" si="435">V148*AK148</f>
        <v>0</v>
      </c>
      <c r="AM148" s="67"/>
      <c r="AN148" s="4">
        <f t="shared" ref="AN148:AN157" si="436">V148*AM148</f>
        <v>0</v>
      </c>
      <c r="AO148" s="67"/>
      <c r="AP148" s="4">
        <f t="shared" ref="AP148:AP157" si="437">V148*AO148</f>
        <v>0</v>
      </c>
      <c r="AQ148" s="17"/>
      <c r="AR148" s="4">
        <f t="shared" ref="AR148:AR157" si="438">V148*AQ148</f>
        <v>0</v>
      </c>
      <c r="AS148" s="67"/>
      <c r="AT148" s="4">
        <f t="shared" ref="AT148:AT157" si="439">X148*AS148</f>
        <v>0</v>
      </c>
      <c r="AU148" s="73">
        <f t="shared" ref="AU148:AU157" si="440">V148*X148</f>
        <v>12.182400000000012</v>
      </c>
    </row>
    <row r="149" spans="1:47" s="8" customFormat="1" x14ac:dyDescent="0.25">
      <c r="A149" s="21"/>
      <c r="B149" s="9">
        <f t="shared" si="418"/>
        <v>0</v>
      </c>
      <c r="C149" s="9"/>
      <c r="D149" s="9">
        <f t="shared" si="419"/>
        <v>0</v>
      </c>
      <c r="E149" s="10"/>
      <c r="F149" s="54" t="str">
        <f>F148</f>
        <v>Naomi</v>
      </c>
      <c r="G149" s="27" t="s">
        <v>46</v>
      </c>
      <c r="H149" s="54" t="s">
        <v>56</v>
      </c>
      <c r="I149" s="9" t="s">
        <v>4</v>
      </c>
      <c r="J149" s="5">
        <f t="shared" si="420"/>
        <v>1128</v>
      </c>
      <c r="K149" s="9"/>
      <c r="L149" s="9">
        <f>L148</f>
        <v>564</v>
      </c>
      <c r="M149" s="9">
        <f t="shared" si="421"/>
        <v>564</v>
      </c>
      <c r="N149" s="9"/>
      <c r="O149" s="72">
        <f t="shared" si="422"/>
        <v>564</v>
      </c>
      <c r="P149" s="74">
        <f t="shared" si="423"/>
        <v>56.400000000000006</v>
      </c>
      <c r="Q149" s="9">
        <f t="shared" si="424"/>
        <v>56.400000000000006</v>
      </c>
      <c r="R149" s="27">
        <f t="shared" si="425"/>
        <v>45.120000000000005</v>
      </c>
      <c r="S149" s="27"/>
      <c r="T149" s="27"/>
      <c r="U149" s="29">
        <f t="shared" si="426"/>
        <v>406.08000000000004</v>
      </c>
      <c r="V149" s="27">
        <f t="shared" si="427"/>
        <v>406.08000000000004</v>
      </c>
      <c r="W149" s="28"/>
      <c r="X149" s="13">
        <f t="shared" si="428"/>
        <v>3.0000000000000027E-2</v>
      </c>
      <c r="Y149" s="17">
        <f t="shared" si="429"/>
        <v>0.97</v>
      </c>
      <c r="Z149" s="5">
        <f t="shared" si="430"/>
        <v>495.41759999999999</v>
      </c>
      <c r="AA149" s="17"/>
      <c r="AB149" s="5">
        <f t="shared" si="431"/>
        <v>0</v>
      </c>
      <c r="AC149" s="67"/>
      <c r="AD149" s="5"/>
      <c r="AE149" s="67"/>
      <c r="AF149" s="4">
        <f t="shared" si="432"/>
        <v>0</v>
      </c>
      <c r="AG149" s="67"/>
      <c r="AH149" s="44">
        <f t="shared" si="433"/>
        <v>0</v>
      </c>
      <c r="AI149" s="17"/>
      <c r="AJ149" s="44">
        <f t="shared" si="434"/>
        <v>0</v>
      </c>
      <c r="AK149" s="67"/>
      <c r="AL149" s="44">
        <f t="shared" si="435"/>
        <v>0</v>
      </c>
      <c r="AM149" s="67"/>
      <c r="AN149" s="4">
        <f t="shared" si="436"/>
        <v>0</v>
      </c>
      <c r="AO149" s="67"/>
      <c r="AP149" s="4">
        <f t="shared" si="437"/>
        <v>0</v>
      </c>
      <c r="AQ149" s="17"/>
      <c r="AR149" s="4">
        <f t="shared" si="438"/>
        <v>0</v>
      </c>
      <c r="AS149" s="67"/>
      <c r="AT149" s="4">
        <f t="shared" si="439"/>
        <v>0</v>
      </c>
      <c r="AU149" s="73">
        <f t="shared" si="440"/>
        <v>12.182400000000012</v>
      </c>
    </row>
    <row r="150" spans="1:47" s="8" customFormat="1" x14ac:dyDescent="0.25">
      <c r="A150" s="21"/>
      <c r="B150" s="9">
        <f t="shared" si="418"/>
        <v>0</v>
      </c>
      <c r="C150" s="9"/>
      <c r="D150" s="9">
        <f t="shared" si="419"/>
        <v>0</v>
      </c>
      <c r="E150" s="10"/>
      <c r="F150" s="54" t="str">
        <f>F148</f>
        <v>Naomi</v>
      </c>
      <c r="G150" s="27" t="s">
        <v>46</v>
      </c>
      <c r="H150" s="54" t="s">
        <v>57</v>
      </c>
      <c r="I150" s="9" t="s">
        <v>5</v>
      </c>
      <c r="J150" s="5">
        <f t="shared" si="420"/>
        <v>1128</v>
      </c>
      <c r="K150" s="9"/>
      <c r="L150" s="9">
        <f>L148</f>
        <v>564</v>
      </c>
      <c r="M150" s="9">
        <f t="shared" si="421"/>
        <v>564</v>
      </c>
      <c r="N150" s="9"/>
      <c r="O150" s="72">
        <f t="shared" si="422"/>
        <v>564</v>
      </c>
      <c r="P150" s="74">
        <f t="shared" si="423"/>
        <v>56.400000000000006</v>
      </c>
      <c r="Q150" s="9">
        <f t="shared" si="424"/>
        <v>56.400000000000006</v>
      </c>
      <c r="R150" s="27">
        <f t="shared" si="425"/>
        <v>45.120000000000005</v>
      </c>
      <c r="S150" s="27"/>
      <c r="T150" s="27"/>
      <c r="U150" s="29">
        <f t="shared" si="426"/>
        <v>406.08000000000004</v>
      </c>
      <c r="V150" s="27">
        <f t="shared" si="427"/>
        <v>406.08000000000004</v>
      </c>
      <c r="W150" s="28"/>
      <c r="X150" s="13">
        <f t="shared" si="428"/>
        <v>3.0000000000000027E-2</v>
      </c>
      <c r="Y150" s="17">
        <f t="shared" si="429"/>
        <v>0.97</v>
      </c>
      <c r="Z150" s="5">
        <f t="shared" si="430"/>
        <v>495.41759999999999</v>
      </c>
      <c r="AA150" s="17"/>
      <c r="AB150" s="5">
        <f t="shared" si="431"/>
        <v>0</v>
      </c>
      <c r="AC150" s="67"/>
      <c r="AD150" s="5"/>
      <c r="AE150" s="67"/>
      <c r="AF150" s="4">
        <f t="shared" si="432"/>
        <v>0</v>
      </c>
      <c r="AG150" s="67"/>
      <c r="AH150" s="44">
        <f t="shared" si="433"/>
        <v>0</v>
      </c>
      <c r="AI150" s="17"/>
      <c r="AJ150" s="44">
        <f t="shared" si="434"/>
        <v>0</v>
      </c>
      <c r="AK150" s="67"/>
      <c r="AL150" s="44">
        <f t="shared" si="435"/>
        <v>0</v>
      </c>
      <c r="AM150" s="67"/>
      <c r="AN150" s="4">
        <f t="shared" si="436"/>
        <v>0</v>
      </c>
      <c r="AO150" s="67"/>
      <c r="AP150" s="4">
        <f t="shared" si="437"/>
        <v>0</v>
      </c>
      <c r="AQ150" s="17"/>
      <c r="AR150" s="4">
        <f t="shared" si="438"/>
        <v>0</v>
      </c>
      <c r="AS150" s="67"/>
      <c r="AT150" s="4">
        <f t="shared" si="439"/>
        <v>0</v>
      </c>
      <c r="AU150" s="73">
        <f t="shared" si="440"/>
        <v>12.182400000000012</v>
      </c>
    </row>
    <row r="151" spans="1:47" s="8" customFormat="1" x14ac:dyDescent="0.25">
      <c r="A151" s="21"/>
      <c r="B151" s="9">
        <f t="shared" si="418"/>
        <v>0</v>
      </c>
      <c r="C151" s="9"/>
      <c r="D151" s="9">
        <f t="shared" si="419"/>
        <v>0</v>
      </c>
      <c r="E151" s="10"/>
      <c r="F151" s="54" t="str">
        <f>F148</f>
        <v>Naomi</v>
      </c>
      <c r="G151" s="27" t="s">
        <v>46</v>
      </c>
      <c r="H151" s="54" t="s">
        <v>58</v>
      </c>
      <c r="I151" s="9" t="s">
        <v>1</v>
      </c>
      <c r="J151" s="5">
        <f t="shared" si="420"/>
        <v>1128</v>
      </c>
      <c r="K151" s="9"/>
      <c r="L151" s="9">
        <f>L148</f>
        <v>564</v>
      </c>
      <c r="M151" s="9">
        <f t="shared" si="421"/>
        <v>564</v>
      </c>
      <c r="N151" s="9"/>
      <c r="O151" s="72">
        <f t="shared" si="422"/>
        <v>564</v>
      </c>
      <c r="P151" s="74">
        <f t="shared" si="423"/>
        <v>56.400000000000006</v>
      </c>
      <c r="Q151" s="9">
        <f t="shared" si="424"/>
        <v>56.400000000000006</v>
      </c>
      <c r="R151" s="27">
        <f t="shared" si="425"/>
        <v>45.120000000000005</v>
      </c>
      <c r="S151" s="27"/>
      <c r="T151" s="27"/>
      <c r="U151" s="29">
        <f t="shared" si="426"/>
        <v>406.08000000000004</v>
      </c>
      <c r="V151" s="27">
        <f t="shared" si="427"/>
        <v>406.08000000000004</v>
      </c>
      <c r="W151" s="28"/>
      <c r="X151" s="13">
        <f t="shared" si="428"/>
        <v>3.0000000000000027E-2</v>
      </c>
      <c r="Y151" s="17">
        <f t="shared" si="429"/>
        <v>0.97</v>
      </c>
      <c r="Z151" s="5">
        <f t="shared" si="430"/>
        <v>495.41759999999999</v>
      </c>
      <c r="AA151" s="17"/>
      <c r="AB151" s="5">
        <f t="shared" si="431"/>
        <v>0</v>
      </c>
      <c r="AC151" s="67"/>
      <c r="AD151" s="5"/>
      <c r="AE151" s="67"/>
      <c r="AF151" s="4">
        <f t="shared" si="432"/>
        <v>0</v>
      </c>
      <c r="AG151" s="67"/>
      <c r="AH151" s="44">
        <f t="shared" si="433"/>
        <v>0</v>
      </c>
      <c r="AI151" s="17"/>
      <c r="AJ151" s="44">
        <f t="shared" si="434"/>
        <v>0</v>
      </c>
      <c r="AK151" s="67"/>
      <c r="AL151" s="44">
        <f t="shared" si="435"/>
        <v>0</v>
      </c>
      <c r="AM151" s="67"/>
      <c r="AN151" s="4">
        <f t="shared" si="436"/>
        <v>0</v>
      </c>
      <c r="AO151" s="67"/>
      <c r="AP151" s="4">
        <f t="shared" si="437"/>
        <v>0</v>
      </c>
      <c r="AQ151" s="17"/>
      <c r="AR151" s="4">
        <f t="shared" si="438"/>
        <v>0</v>
      </c>
      <c r="AS151" s="67"/>
      <c r="AT151" s="4">
        <f t="shared" si="439"/>
        <v>0</v>
      </c>
      <c r="AU151" s="73">
        <f t="shared" si="440"/>
        <v>12.182400000000012</v>
      </c>
    </row>
    <row r="152" spans="1:47" s="8" customFormat="1" x14ac:dyDescent="0.25">
      <c r="A152" s="21"/>
      <c r="B152" s="9">
        <f t="shared" si="418"/>
        <v>0</v>
      </c>
      <c r="C152" s="9"/>
      <c r="D152" s="9">
        <f t="shared" si="419"/>
        <v>0</v>
      </c>
      <c r="E152" s="10"/>
      <c r="F152" s="54" t="str">
        <f>F148</f>
        <v>Naomi</v>
      </c>
      <c r="G152" s="27" t="s">
        <v>46</v>
      </c>
      <c r="H152" s="54" t="s">
        <v>59</v>
      </c>
      <c r="I152" s="9" t="s">
        <v>2</v>
      </c>
      <c r="J152" s="5">
        <f t="shared" si="420"/>
        <v>1128</v>
      </c>
      <c r="K152" s="9"/>
      <c r="L152" s="9">
        <f>L148</f>
        <v>564</v>
      </c>
      <c r="M152" s="9">
        <f t="shared" si="421"/>
        <v>564</v>
      </c>
      <c r="N152" s="9"/>
      <c r="O152" s="72">
        <f t="shared" si="422"/>
        <v>564</v>
      </c>
      <c r="P152" s="74">
        <f t="shared" si="423"/>
        <v>56.400000000000006</v>
      </c>
      <c r="Q152" s="9">
        <f t="shared" si="424"/>
        <v>56.400000000000006</v>
      </c>
      <c r="R152" s="27">
        <f t="shared" si="425"/>
        <v>45.120000000000005</v>
      </c>
      <c r="S152" s="27"/>
      <c r="T152" s="27"/>
      <c r="U152" s="29">
        <f t="shared" si="426"/>
        <v>406.08000000000004</v>
      </c>
      <c r="V152" s="27">
        <f t="shared" si="427"/>
        <v>406.08000000000004</v>
      </c>
      <c r="W152" s="28"/>
      <c r="X152" s="13">
        <f>100%-Y152-AA152-AC152-AE152-AG152-AI152-AK152-AM152-AO152-AQ152</f>
        <v>3.0000000000000027E-2</v>
      </c>
      <c r="Y152" s="17">
        <f t="shared" si="429"/>
        <v>0.97</v>
      </c>
      <c r="Z152" s="5">
        <f t="shared" si="430"/>
        <v>495.41759999999999</v>
      </c>
      <c r="AA152" s="17"/>
      <c r="AB152" s="5">
        <f t="shared" si="431"/>
        <v>0</v>
      </c>
      <c r="AC152" s="67"/>
      <c r="AD152" s="5"/>
      <c r="AE152" s="67"/>
      <c r="AF152" s="4">
        <f t="shared" si="432"/>
        <v>0</v>
      </c>
      <c r="AG152" s="67"/>
      <c r="AH152" s="44">
        <f t="shared" si="433"/>
        <v>0</v>
      </c>
      <c r="AI152" s="17"/>
      <c r="AJ152" s="44">
        <f t="shared" si="434"/>
        <v>0</v>
      </c>
      <c r="AK152" s="67"/>
      <c r="AL152" s="44">
        <f t="shared" si="435"/>
        <v>0</v>
      </c>
      <c r="AM152" s="67"/>
      <c r="AN152" s="4">
        <f t="shared" si="436"/>
        <v>0</v>
      </c>
      <c r="AO152" s="67"/>
      <c r="AP152" s="4">
        <f t="shared" si="437"/>
        <v>0</v>
      </c>
      <c r="AQ152" s="17"/>
      <c r="AR152" s="4">
        <f t="shared" si="438"/>
        <v>0</v>
      </c>
      <c r="AS152" s="67"/>
      <c r="AT152" s="4">
        <f t="shared" si="439"/>
        <v>0</v>
      </c>
      <c r="AU152" s="73">
        <f t="shared" si="440"/>
        <v>12.182400000000012</v>
      </c>
    </row>
    <row r="153" spans="1:47" s="8" customFormat="1" x14ac:dyDescent="0.25">
      <c r="A153" s="21"/>
      <c r="B153" s="9">
        <f t="shared" si="418"/>
        <v>0</v>
      </c>
      <c r="C153" s="9"/>
      <c r="D153" s="9">
        <f t="shared" si="419"/>
        <v>0</v>
      </c>
      <c r="E153" s="10"/>
      <c r="F153" s="54" t="str">
        <f>F148</f>
        <v>Naomi</v>
      </c>
      <c r="G153" s="27" t="s">
        <v>46</v>
      </c>
      <c r="H153" s="54" t="s">
        <v>60</v>
      </c>
      <c r="I153" s="9" t="s">
        <v>6</v>
      </c>
      <c r="J153" s="5">
        <f t="shared" si="420"/>
        <v>1128</v>
      </c>
      <c r="K153" s="9"/>
      <c r="L153" s="9">
        <f>L148</f>
        <v>564</v>
      </c>
      <c r="M153" s="9">
        <f t="shared" si="421"/>
        <v>564</v>
      </c>
      <c r="N153" s="9">
        <v>0</v>
      </c>
      <c r="O153" s="72">
        <f t="shared" si="422"/>
        <v>564</v>
      </c>
      <c r="P153" s="74">
        <f t="shared" si="423"/>
        <v>56.400000000000006</v>
      </c>
      <c r="Q153" s="9">
        <f t="shared" si="424"/>
        <v>56.400000000000006</v>
      </c>
      <c r="R153" s="27">
        <f t="shared" si="425"/>
        <v>45.120000000000005</v>
      </c>
      <c r="S153" s="27"/>
      <c r="T153" s="27"/>
      <c r="U153" s="29">
        <f t="shared" si="426"/>
        <v>406.08000000000004</v>
      </c>
      <c r="V153" s="27">
        <f t="shared" si="427"/>
        <v>406.08000000000004</v>
      </c>
      <c r="W153" s="28"/>
      <c r="X153" s="13">
        <f t="shared" ref="X153:X155" si="441">100%-Y153-AA153-AC153-AE153-AG153-AI153-AK153-AM153-AO153-AQ153</f>
        <v>3.0000000000000027E-2</v>
      </c>
      <c r="Y153" s="17">
        <f t="shared" si="429"/>
        <v>0.97</v>
      </c>
      <c r="Z153" s="5">
        <f t="shared" si="430"/>
        <v>495.41759999999999</v>
      </c>
      <c r="AA153" s="17"/>
      <c r="AB153" s="5">
        <f t="shared" si="431"/>
        <v>0</v>
      </c>
      <c r="AC153" s="67"/>
      <c r="AD153" s="5"/>
      <c r="AE153" s="67"/>
      <c r="AF153" s="4">
        <f t="shared" si="432"/>
        <v>0</v>
      </c>
      <c r="AG153" s="67"/>
      <c r="AH153" s="44">
        <f t="shared" si="433"/>
        <v>0</v>
      </c>
      <c r="AI153" s="17"/>
      <c r="AJ153" s="44">
        <f t="shared" si="434"/>
        <v>0</v>
      </c>
      <c r="AK153" s="67"/>
      <c r="AL153" s="44">
        <f t="shared" si="435"/>
        <v>0</v>
      </c>
      <c r="AM153" s="67"/>
      <c r="AN153" s="4">
        <f t="shared" si="436"/>
        <v>0</v>
      </c>
      <c r="AO153" s="67"/>
      <c r="AP153" s="4">
        <f t="shared" si="437"/>
        <v>0</v>
      </c>
      <c r="AQ153" s="17"/>
      <c r="AR153" s="4">
        <f t="shared" si="438"/>
        <v>0</v>
      </c>
      <c r="AS153" s="67"/>
      <c r="AT153" s="4">
        <f t="shared" si="439"/>
        <v>0</v>
      </c>
      <c r="AU153" s="73">
        <f t="shared" si="440"/>
        <v>12.182400000000012</v>
      </c>
    </row>
    <row r="154" spans="1:47" s="8" customFormat="1" x14ac:dyDescent="0.25">
      <c r="A154" s="21"/>
      <c r="B154" s="9">
        <f t="shared" si="418"/>
        <v>0</v>
      </c>
      <c r="C154" s="9"/>
      <c r="D154" s="9">
        <f t="shared" si="419"/>
        <v>0</v>
      </c>
      <c r="E154" s="10"/>
      <c r="F154" s="54" t="str">
        <f>F148</f>
        <v>Naomi</v>
      </c>
      <c r="G154" s="27" t="s">
        <v>46</v>
      </c>
      <c r="H154" s="54" t="s">
        <v>61</v>
      </c>
      <c r="I154" s="9" t="s">
        <v>7</v>
      </c>
      <c r="J154" s="5">
        <f t="shared" si="420"/>
        <v>1128</v>
      </c>
      <c r="K154" s="9"/>
      <c r="L154" s="9">
        <f>L148</f>
        <v>564</v>
      </c>
      <c r="M154" s="9">
        <f t="shared" si="421"/>
        <v>564</v>
      </c>
      <c r="N154" s="9">
        <v>0</v>
      </c>
      <c r="O154" s="72">
        <f t="shared" si="422"/>
        <v>564</v>
      </c>
      <c r="P154" s="74">
        <f t="shared" si="423"/>
        <v>56.400000000000006</v>
      </c>
      <c r="Q154" s="9"/>
      <c r="R154" s="27"/>
      <c r="S154" s="27"/>
      <c r="T154" s="27"/>
      <c r="U154" s="29">
        <f t="shared" si="426"/>
        <v>507.6</v>
      </c>
      <c r="V154" s="27">
        <f t="shared" si="427"/>
        <v>507.6</v>
      </c>
      <c r="W154" s="28"/>
      <c r="X154" s="13">
        <f t="shared" si="441"/>
        <v>3.0000000000000027E-2</v>
      </c>
      <c r="Y154" s="17">
        <f t="shared" si="429"/>
        <v>0.97</v>
      </c>
      <c r="Z154" s="5">
        <f t="shared" si="430"/>
        <v>492.37200000000001</v>
      </c>
      <c r="AA154" s="17"/>
      <c r="AB154" s="5">
        <f t="shared" si="431"/>
        <v>0</v>
      </c>
      <c r="AC154" s="67"/>
      <c r="AD154" s="5"/>
      <c r="AE154" s="67"/>
      <c r="AF154" s="4">
        <f t="shared" si="432"/>
        <v>0</v>
      </c>
      <c r="AG154" s="67"/>
      <c r="AH154" s="44">
        <f t="shared" si="433"/>
        <v>0</v>
      </c>
      <c r="AI154" s="17"/>
      <c r="AJ154" s="44">
        <f t="shared" si="434"/>
        <v>0</v>
      </c>
      <c r="AK154" s="67"/>
      <c r="AL154" s="44">
        <f t="shared" si="435"/>
        <v>0</v>
      </c>
      <c r="AM154" s="67"/>
      <c r="AN154" s="4">
        <f t="shared" si="436"/>
        <v>0</v>
      </c>
      <c r="AO154" s="67"/>
      <c r="AP154" s="4">
        <f t="shared" si="437"/>
        <v>0</v>
      </c>
      <c r="AQ154" s="17"/>
      <c r="AR154" s="4">
        <f t="shared" si="438"/>
        <v>0</v>
      </c>
      <c r="AS154" s="67"/>
      <c r="AT154" s="4">
        <f t="shared" si="439"/>
        <v>0</v>
      </c>
      <c r="AU154" s="73">
        <f t="shared" si="440"/>
        <v>15.228000000000014</v>
      </c>
    </row>
    <row r="155" spans="1:47" s="8" customFormat="1" x14ac:dyDescent="0.25">
      <c r="A155" s="21"/>
      <c r="B155" s="9">
        <f t="shared" si="418"/>
        <v>0</v>
      </c>
      <c r="C155" s="9"/>
      <c r="D155" s="9">
        <f t="shared" si="419"/>
        <v>0</v>
      </c>
      <c r="E155" s="10"/>
      <c r="F155" s="54" t="str">
        <f>F148</f>
        <v>Naomi</v>
      </c>
      <c r="G155" s="27" t="s">
        <v>46</v>
      </c>
      <c r="H155" s="54" t="s">
        <v>62</v>
      </c>
      <c r="I155" s="9" t="s">
        <v>8</v>
      </c>
      <c r="J155" s="5">
        <f t="shared" si="420"/>
        <v>1128</v>
      </c>
      <c r="K155" s="9"/>
      <c r="L155" s="9">
        <f>L148</f>
        <v>564</v>
      </c>
      <c r="M155" s="9">
        <f t="shared" si="421"/>
        <v>564</v>
      </c>
      <c r="N155" s="9">
        <v>0</v>
      </c>
      <c r="O155" s="72">
        <f t="shared" si="422"/>
        <v>564</v>
      </c>
      <c r="P155" s="74">
        <f t="shared" si="423"/>
        <v>56.400000000000006</v>
      </c>
      <c r="Q155" s="9"/>
      <c r="R155" s="27"/>
      <c r="S155" s="27"/>
      <c r="T155" s="27"/>
      <c r="U155" s="29">
        <f t="shared" si="426"/>
        <v>507.6</v>
      </c>
      <c r="V155" s="27">
        <f t="shared" si="427"/>
        <v>507.6</v>
      </c>
      <c r="W155" s="28"/>
      <c r="X155" s="13">
        <f t="shared" si="441"/>
        <v>3.0000000000000068E-2</v>
      </c>
      <c r="Y155" s="17">
        <f t="shared" si="429"/>
        <v>0.91999999999999993</v>
      </c>
      <c r="Z155" s="5">
        <f t="shared" si="430"/>
        <v>466.99199999999996</v>
      </c>
      <c r="AA155" s="17">
        <v>0.05</v>
      </c>
      <c r="AB155" s="5">
        <f t="shared" si="431"/>
        <v>25.380000000000003</v>
      </c>
      <c r="AC155" s="67"/>
      <c r="AD155" s="5"/>
      <c r="AE155" s="67"/>
      <c r="AF155" s="4">
        <f t="shared" si="432"/>
        <v>0</v>
      </c>
      <c r="AG155" s="67"/>
      <c r="AH155" s="44">
        <f t="shared" si="433"/>
        <v>0</v>
      </c>
      <c r="AI155" s="17"/>
      <c r="AJ155" s="44">
        <f t="shared" si="434"/>
        <v>0</v>
      </c>
      <c r="AK155" s="67"/>
      <c r="AL155" s="44">
        <f t="shared" si="435"/>
        <v>0</v>
      </c>
      <c r="AM155" s="67"/>
      <c r="AN155" s="4">
        <f t="shared" si="436"/>
        <v>0</v>
      </c>
      <c r="AO155" s="67"/>
      <c r="AP155" s="4">
        <f t="shared" si="437"/>
        <v>0</v>
      </c>
      <c r="AQ155" s="17"/>
      <c r="AR155" s="4">
        <f t="shared" si="438"/>
        <v>0</v>
      </c>
      <c r="AS155" s="67"/>
      <c r="AT155" s="4">
        <f t="shared" si="439"/>
        <v>0</v>
      </c>
      <c r="AU155" s="73">
        <f t="shared" si="440"/>
        <v>15.228000000000035</v>
      </c>
    </row>
    <row r="156" spans="1:47" s="8" customFormat="1" x14ac:dyDescent="0.25">
      <c r="A156" s="21"/>
      <c r="B156" s="9">
        <f t="shared" si="418"/>
        <v>0</v>
      </c>
      <c r="C156" s="9"/>
      <c r="D156" s="9">
        <f t="shared" si="419"/>
        <v>0</v>
      </c>
      <c r="E156" s="10"/>
      <c r="F156" s="54" t="str">
        <f>F148</f>
        <v>Naomi</v>
      </c>
      <c r="G156" s="27" t="s">
        <v>46</v>
      </c>
      <c r="H156" s="54" t="s">
        <v>63</v>
      </c>
      <c r="I156" s="9" t="s">
        <v>9</v>
      </c>
      <c r="J156" s="5">
        <f t="shared" si="420"/>
        <v>1128</v>
      </c>
      <c r="K156" s="9"/>
      <c r="L156" s="9">
        <f>L148</f>
        <v>564</v>
      </c>
      <c r="M156" s="9">
        <f t="shared" si="421"/>
        <v>564</v>
      </c>
      <c r="N156" s="9"/>
      <c r="O156" s="72">
        <f t="shared" si="422"/>
        <v>564</v>
      </c>
      <c r="P156" s="74">
        <f t="shared" si="423"/>
        <v>56.400000000000006</v>
      </c>
      <c r="Q156" s="9"/>
      <c r="R156" s="27"/>
      <c r="S156" s="27"/>
      <c r="T156" s="27"/>
      <c r="U156" s="29">
        <f t="shared" si="426"/>
        <v>507.6</v>
      </c>
      <c r="V156" s="27">
        <f t="shared" si="427"/>
        <v>507.6</v>
      </c>
      <c r="W156" s="28"/>
      <c r="X156" s="13">
        <f>100%-Y156-AA156-AC156-AE156-AG156-AI156-AK156-AM156-AO156-AQ156</f>
        <v>3.0000000000000068E-2</v>
      </c>
      <c r="Y156" s="17">
        <f t="shared" si="429"/>
        <v>0.91999999999999993</v>
      </c>
      <c r="Z156" s="5">
        <f t="shared" si="430"/>
        <v>466.99199999999996</v>
      </c>
      <c r="AA156" s="17">
        <v>0.05</v>
      </c>
      <c r="AB156" s="5">
        <f t="shared" si="431"/>
        <v>25.380000000000003</v>
      </c>
      <c r="AC156" s="67"/>
      <c r="AD156" s="5"/>
      <c r="AE156" s="67"/>
      <c r="AF156" s="4">
        <f t="shared" si="432"/>
        <v>0</v>
      </c>
      <c r="AG156" s="67"/>
      <c r="AH156" s="44">
        <f t="shared" si="433"/>
        <v>0</v>
      </c>
      <c r="AI156" s="17"/>
      <c r="AJ156" s="44">
        <f t="shared" si="434"/>
        <v>0</v>
      </c>
      <c r="AK156" s="67"/>
      <c r="AL156" s="44">
        <f t="shared" si="435"/>
        <v>0</v>
      </c>
      <c r="AM156" s="67"/>
      <c r="AN156" s="4">
        <f t="shared" si="436"/>
        <v>0</v>
      </c>
      <c r="AO156" s="67"/>
      <c r="AP156" s="4">
        <f t="shared" si="437"/>
        <v>0</v>
      </c>
      <c r="AQ156" s="17"/>
      <c r="AR156" s="4">
        <f t="shared" si="438"/>
        <v>0</v>
      </c>
      <c r="AS156" s="67"/>
      <c r="AT156" s="4">
        <f t="shared" si="439"/>
        <v>0</v>
      </c>
      <c r="AU156" s="73">
        <f t="shared" si="440"/>
        <v>15.228000000000035</v>
      </c>
    </row>
    <row r="157" spans="1:47" s="8" customFormat="1" x14ac:dyDescent="0.25">
      <c r="A157" s="21"/>
      <c r="B157" s="9"/>
      <c r="C157" s="9"/>
      <c r="D157" s="9"/>
      <c r="E157" s="10"/>
      <c r="F157" s="54" t="str">
        <f>F148</f>
        <v>Naomi</v>
      </c>
      <c r="G157" s="27" t="s">
        <v>46</v>
      </c>
      <c r="H157" s="54" t="s">
        <v>64</v>
      </c>
      <c r="I157" s="9" t="s">
        <v>10</v>
      </c>
      <c r="J157" s="9">
        <f t="shared" si="420"/>
        <v>1128</v>
      </c>
      <c r="K157" s="5"/>
      <c r="L157" s="9">
        <f>L148</f>
        <v>564</v>
      </c>
      <c r="M157" s="9">
        <f>L157</f>
        <v>564</v>
      </c>
      <c r="N157" s="5"/>
      <c r="O157" s="72">
        <f t="shared" ref="O157:O198" si="442">M157-N157</f>
        <v>564</v>
      </c>
      <c r="P157" s="74">
        <f t="shared" ref="P157" si="443">(M157-N157)*5%</f>
        <v>28.200000000000003</v>
      </c>
      <c r="Q157" s="9"/>
      <c r="R157" s="27"/>
      <c r="S157" s="27"/>
      <c r="T157" s="27"/>
      <c r="U157" s="29">
        <f t="shared" si="426"/>
        <v>535.79999999999995</v>
      </c>
      <c r="V157" s="27">
        <f t="shared" si="427"/>
        <v>535.79999999999995</v>
      </c>
      <c r="W157" s="28"/>
      <c r="X157" s="13">
        <f t="shared" ref="X157" si="444">100%-Y157-AA157-AC157-AE157-AG157-AI157-AK157-AM157-AO157-AQ157</f>
        <v>1.0000000000000009E-2</v>
      </c>
      <c r="Y157" s="17">
        <f t="shared" ref="Y157" si="445">(99%-AA157-AC157-AE157-AG157-AI157-AK157-AM157-AO157-AQ157)</f>
        <v>0.99</v>
      </c>
      <c r="Z157" s="9">
        <f t="shared" si="430"/>
        <v>530.44199999999989</v>
      </c>
      <c r="AA157" s="17"/>
      <c r="AB157" s="5"/>
      <c r="AC157" s="17"/>
      <c r="AD157" s="9"/>
      <c r="AE157" s="67"/>
      <c r="AF157" s="4">
        <f t="shared" si="432"/>
        <v>0</v>
      </c>
      <c r="AG157" s="67"/>
      <c r="AH157" s="57">
        <f t="shared" si="433"/>
        <v>0</v>
      </c>
      <c r="AI157" s="17"/>
      <c r="AJ157" s="57">
        <f t="shared" si="434"/>
        <v>0</v>
      </c>
      <c r="AK157" s="67"/>
      <c r="AL157" s="57">
        <f t="shared" si="435"/>
        <v>0</v>
      </c>
      <c r="AM157" s="67"/>
      <c r="AN157" s="9">
        <f t="shared" si="436"/>
        <v>0</v>
      </c>
      <c r="AO157" s="67"/>
      <c r="AP157" s="10">
        <f t="shared" si="437"/>
        <v>0</v>
      </c>
      <c r="AQ157" s="17"/>
      <c r="AR157" s="10">
        <f t="shared" si="438"/>
        <v>0</v>
      </c>
      <c r="AS157" s="67"/>
      <c r="AT157" s="10">
        <f t="shared" si="439"/>
        <v>0</v>
      </c>
      <c r="AU157" s="73">
        <f t="shared" si="440"/>
        <v>5.3580000000000041</v>
      </c>
    </row>
    <row r="158" spans="1:47" x14ac:dyDescent="0.25">
      <c r="A158" s="21"/>
      <c r="C158" s="9"/>
      <c r="D158" s="10"/>
      <c r="E158" s="10"/>
      <c r="F158" s="8"/>
      <c r="G158" s="8"/>
      <c r="H158" s="8"/>
      <c r="I158" s="9"/>
      <c r="J158" s="9"/>
      <c r="M158" s="9"/>
      <c r="O158" s="9"/>
      <c r="P158" s="9"/>
      <c r="Q158" s="9"/>
      <c r="Z158" s="5"/>
      <c r="AB158" s="5"/>
      <c r="AC158" s="18"/>
      <c r="AD158" s="5"/>
      <c r="AE158" s="18"/>
      <c r="AG158" s="18"/>
      <c r="AH158" s="44" t="s">
        <v>188</v>
      </c>
      <c r="AJ158" s="44"/>
      <c r="AK158" s="18"/>
      <c r="AL158" s="44"/>
      <c r="AM158" s="18"/>
      <c r="AN158" s="5"/>
      <c r="AO158" s="18"/>
      <c r="AP158" s="5"/>
      <c r="AR158" s="5"/>
      <c r="AS158" s="18"/>
      <c r="AT158" s="5"/>
    </row>
    <row r="159" spans="1:47" s="8" customFormat="1" x14ac:dyDescent="0.25">
      <c r="A159" s="21" t="s">
        <v>22</v>
      </c>
      <c r="B159" s="9">
        <f t="shared" ref="B159:B170" si="446">IF(A159="",0,((U159)*10%))</f>
        <v>51.45600000000001</v>
      </c>
      <c r="C159" s="9"/>
      <c r="D159" s="9">
        <f t="shared" ref="D159:D170" si="447">IF(C159="",0,((U159)*5%))</f>
        <v>0</v>
      </c>
      <c r="E159" s="10"/>
      <c r="F159" s="71" t="s">
        <v>39</v>
      </c>
      <c r="G159" s="70" t="s">
        <v>46</v>
      </c>
      <c r="H159" s="71" t="s">
        <v>76</v>
      </c>
      <c r="I159" s="5" t="s">
        <v>3</v>
      </c>
      <c r="J159" s="5">
        <f t="shared" ref="J159:J170" si="448">L159*2</f>
        <v>1612</v>
      </c>
      <c r="K159" s="5"/>
      <c r="L159" s="9">
        <v>806</v>
      </c>
      <c r="M159" s="9">
        <f t="shared" ref="M159:M167" si="449">L159</f>
        <v>806</v>
      </c>
      <c r="N159" s="9">
        <v>2</v>
      </c>
      <c r="O159" s="72">
        <f t="shared" ref="O159:O170" si="450">M159-N159</f>
        <v>804</v>
      </c>
      <c r="P159" s="74">
        <f t="shared" ref="P159:P166" si="451">(M159-N159)*10%</f>
        <v>80.400000000000006</v>
      </c>
      <c r="Q159" s="9">
        <f t="shared" ref="Q159:Q164" si="452">(M159-N159)*10%</f>
        <v>80.400000000000006</v>
      </c>
      <c r="R159" s="112">
        <f t="shared" ref="R159:R165" si="453">(M159-N159-P159-Q159)*20%</f>
        <v>128.64000000000001</v>
      </c>
      <c r="S159" s="112"/>
      <c r="T159" s="112"/>
      <c r="U159" s="113">
        <f t="shared" ref="U159:U170" si="454">M159-N159-P159-Q159-R159-S159</f>
        <v>514.56000000000006</v>
      </c>
      <c r="V159" s="112">
        <f t="shared" ref="V159:V170" si="455">U159-B159-D159</f>
        <v>463.10400000000004</v>
      </c>
      <c r="W159" s="114"/>
      <c r="X159" s="115">
        <f t="shared" ref="X159:X170" si="456">100%-Y159-AA159-AC159-AE159-AG159-AI159-AK159-AM159-AO159-AQ159</f>
        <v>3.0000000000000027E-2</v>
      </c>
      <c r="Y159" s="17">
        <f t="shared" ref="Y159:Y167" si="457">(97%-AA159-AC159-AE159-AG159-AI159-AK159-AM159-AO159-AQ159)</f>
        <v>0.97</v>
      </c>
      <c r="Z159" s="5">
        <f t="shared" ref="Z159:Z170" si="458">(V159*Y159)+Q159+R159</f>
        <v>658.25088000000005</v>
      </c>
      <c r="AA159" s="17"/>
      <c r="AB159" s="5">
        <f t="shared" ref="AB159:AB166" si="459">(V159*AA159)</f>
        <v>0</v>
      </c>
      <c r="AC159" s="67"/>
      <c r="AD159" s="5"/>
      <c r="AE159" s="67"/>
      <c r="AF159" s="4">
        <f t="shared" ref="AF159:AF170" si="460">V159*AE159</f>
        <v>0</v>
      </c>
      <c r="AG159" s="67"/>
      <c r="AH159" s="44">
        <f t="shared" ref="AH159:AH170" si="461">V159*AG159</f>
        <v>0</v>
      </c>
      <c r="AI159" s="17"/>
      <c r="AJ159" s="44">
        <f t="shared" ref="AJ159:AJ170" si="462">V159*AI159</f>
        <v>0</v>
      </c>
      <c r="AK159" s="67"/>
      <c r="AL159" s="44">
        <f t="shared" ref="AL159:AL170" si="463">V159*AK159</f>
        <v>0</v>
      </c>
      <c r="AM159" s="67"/>
      <c r="AN159" s="4">
        <f t="shared" ref="AN159:AN170" si="464">V159*AM159</f>
        <v>0</v>
      </c>
      <c r="AO159" s="67"/>
      <c r="AP159" s="4">
        <f t="shared" ref="AP159:AP170" si="465">V159*AO159</f>
        <v>0</v>
      </c>
      <c r="AQ159" s="17"/>
      <c r="AR159" s="4">
        <f t="shared" ref="AR159:AR170" si="466">V159*AQ159</f>
        <v>0</v>
      </c>
      <c r="AS159" s="67"/>
      <c r="AT159" s="4">
        <f t="shared" ref="AT159:AT170" si="467">X159*AS159</f>
        <v>0</v>
      </c>
      <c r="AU159" s="73">
        <f t="shared" ref="AU159:AU170" si="468">V159*X159</f>
        <v>13.893120000000014</v>
      </c>
    </row>
    <row r="160" spans="1:47" s="8" customFormat="1" x14ac:dyDescent="0.25">
      <c r="A160" s="21" t="s">
        <v>22</v>
      </c>
      <c r="B160" s="9">
        <f t="shared" si="446"/>
        <v>51.45600000000001</v>
      </c>
      <c r="C160" s="9"/>
      <c r="D160" s="9">
        <f t="shared" si="447"/>
        <v>0</v>
      </c>
      <c r="E160" s="10"/>
      <c r="F160" s="71" t="str">
        <f>F159</f>
        <v>Granit</v>
      </c>
      <c r="G160" s="70" t="s">
        <v>46</v>
      </c>
      <c r="H160" s="71" t="s">
        <v>77</v>
      </c>
      <c r="I160" s="9" t="s">
        <v>4</v>
      </c>
      <c r="J160" s="5">
        <f t="shared" si="448"/>
        <v>1612</v>
      </c>
      <c r="K160" s="9"/>
      <c r="L160" s="9">
        <f>L159</f>
        <v>806</v>
      </c>
      <c r="M160" s="9">
        <f t="shared" si="449"/>
        <v>806</v>
      </c>
      <c r="N160" s="9">
        <v>2</v>
      </c>
      <c r="O160" s="72">
        <f t="shared" si="450"/>
        <v>804</v>
      </c>
      <c r="P160" s="74">
        <f t="shared" si="451"/>
        <v>80.400000000000006</v>
      </c>
      <c r="Q160" s="9">
        <f t="shared" si="452"/>
        <v>80.400000000000006</v>
      </c>
      <c r="R160" s="112">
        <f t="shared" si="453"/>
        <v>128.64000000000001</v>
      </c>
      <c r="S160" s="112"/>
      <c r="T160" s="112"/>
      <c r="U160" s="113">
        <f t="shared" si="454"/>
        <v>514.56000000000006</v>
      </c>
      <c r="V160" s="112">
        <f t="shared" si="455"/>
        <v>463.10400000000004</v>
      </c>
      <c r="W160" s="114"/>
      <c r="X160" s="115">
        <f t="shared" si="456"/>
        <v>3.0000000000000027E-2</v>
      </c>
      <c r="Y160" s="17">
        <f t="shared" si="457"/>
        <v>0.97</v>
      </c>
      <c r="Z160" s="5">
        <f t="shared" si="458"/>
        <v>658.25088000000005</v>
      </c>
      <c r="AA160" s="17"/>
      <c r="AB160" s="5"/>
      <c r="AC160" s="67"/>
      <c r="AD160" s="5"/>
      <c r="AE160" s="67"/>
      <c r="AF160" s="4"/>
      <c r="AG160" s="67"/>
      <c r="AH160" s="44"/>
      <c r="AI160" s="17"/>
      <c r="AJ160" s="44">
        <f t="shared" si="462"/>
        <v>0</v>
      </c>
      <c r="AK160" s="67"/>
      <c r="AL160" s="44">
        <f t="shared" si="463"/>
        <v>0</v>
      </c>
      <c r="AM160" s="67"/>
      <c r="AN160" s="4">
        <f t="shared" si="464"/>
        <v>0</v>
      </c>
      <c r="AO160" s="67"/>
      <c r="AP160" s="4">
        <f t="shared" si="465"/>
        <v>0</v>
      </c>
      <c r="AQ160" s="17"/>
      <c r="AR160" s="4">
        <f t="shared" si="466"/>
        <v>0</v>
      </c>
      <c r="AS160" s="67"/>
      <c r="AT160" s="4">
        <f t="shared" si="467"/>
        <v>0</v>
      </c>
      <c r="AU160" s="73">
        <f t="shared" si="468"/>
        <v>13.893120000000014</v>
      </c>
    </row>
    <row r="161" spans="1:47" s="8" customFormat="1" x14ac:dyDescent="0.25">
      <c r="A161" s="21" t="s">
        <v>22</v>
      </c>
      <c r="B161" s="9">
        <f t="shared" si="446"/>
        <v>51.45600000000001</v>
      </c>
      <c r="C161" s="9"/>
      <c r="D161" s="9">
        <f t="shared" si="447"/>
        <v>0</v>
      </c>
      <c r="E161" s="10"/>
      <c r="F161" s="71" t="str">
        <f>F159</f>
        <v>Granit</v>
      </c>
      <c r="G161" s="70" t="s">
        <v>46</v>
      </c>
      <c r="H161" s="71" t="s">
        <v>78</v>
      </c>
      <c r="I161" s="9" t="s">
        <v>5</v>
      </c>
      <c r="J161" s="5">
        <f t="shared" si="448"/>
        <v>1612</v>
      </c>
      <c r="K161" s="9"/>
      <c r="L161" s="9">
        <f>L159</f>
        <v>806</v>
      </c>
      <c r="M161" s="9">
        <f t="shared" si="449"/>
        <v>806</v>
      </c>
      <c r="N161" s="9">
        <v>2</v>
      </c>
      <c r="O161" s="72">
        <f t="shared" si="450"/>
        <v>804</v>
      </c>
      <c r="P161" s="74">
        <f t="shared" si="451"/>
        <v>80.400000000000006</v>
      </c>
      <c r="Q161" s="9">
        <f t="shared" si="452"/>
        <v>80.400000000000006</v>
      </c>
      <c r="R161" s="112">
        <f t="shared" si="453"/>
        <v>128.64000000000001</v>
      </c>
      <c r="S161" s="112"/>
      <c r="T161" s="112"/>
      <c r="U161" s="113">
        <f t="shared" si="454"/>
        <v>514.56000000000006</v>
      </c>
      <c r="V161" s="112">
        <f t="shared" si="455"/>
        <v>463.10400000000004</v>
      </c>
      <c r="W161" s="114"/>
      <c r="X161" s="115">
        <f t="shared" si="456"/>
        <v>3.0000000000000027E-2</v>
      </c>
      <c r="Y161" s="17">
        <f t="shared" si="457"/>
        <v>0.97</v>
      </c>
      <c r="Z161" s="5">
        <f t="shared" si="458"/>
        <v>658.25088000000005</v>
      </c>
      <c r="AA161" s="17"/>
      <c r="AB161" s="5">
        <f t="shared" si="459"/>
        <v>0</v>
      </c>
      <c r="AC161" s="67"/>
      <c r="AD161" s="5"/>
      <c r="AE161" s="67"/>
      <c r="AF161" s="4">
        <f t="shared" si="460"/>
        <v>0</v>
      </c>
      <c r="AG161" s="67"/>
      <c r="AH161" s="44">
        <f t="shared" si="461"/>
        <v>0</v>
      </c>
      <c r="AI161" s="17"/>
      <c r="AJ161" s="44">
        <f t="shared" si="462"/>
        <v>0</v>
      </c>
      <c r="AK161" s="67"/>
      <c r="AL161" s="44">
        <f t="shared" si="463"/>
        <v>0</v>
      </c>
      <c r="AM161" s="67"/>
      <c r="AN161" s="4">
        <f t="shared" si="464"/>
        <v>0</v>
      </c>
      <c r="AO161" s="67"/>
      <c r="AP161" s="4">
        <f t="shared" si="465"/>
        <v>0</v>
      </c>
      <c r="AQ161" s="17"/>
      <c r="AR161" s="4">
        <f t="shared" si="466"/>
        <v>0</v>
      </c>
      <c r="AS161" s="67"/>
      <c r="AT161" s="4">
        <f t="shared" si="467"/>
        <v>0</v>
      </c>
      <c r="AU161" s="73">
        <f t="shared" si="468"/>
        <v>13.893120000000014</v>
      </c>
    </row>
    <row r="162" spans="1:47" s="8" customFormat="1" x14ac:dyDescent="0.25">
      <c r="A162" s="21" t="s">
        <v>22</v>
      </c>
      <c r="B162" s="9">
        <f t="shared" si="446"/>
        <v>51.45600000000001</v>
      </c>
      <c r="C162" s="9"/>
      <c r="D162" s="9">
        <f t="shared" si="447"/>
        <v>0</v>
      </c>
      <c r="E162" s="10"/>
      <c r="F162" s="71" t="str">
        <f>F159</f>
        <v>Granit</v>
      </c>
      <c r="G162" s="70" t="s">
        <v>46</v>
      </c>
      <c r="H162" s="71" t="s">
        <v>79</v>
      </c>
      <c r="I162" s="9" t="s">
        <v>1</v>
      </c>
      <c r="J162" s="5">
        <f t="shared" si="448"/>
        <v>1612</v>
      </c>
      <c r="K162" s="9"/>
      <c r="L162" s="9">
        <f>L159</f>
        <v>806</v>
      </c>
      <c r="M162" s="9">
        <f t="shared" si="449"/>
        <v>806</v>
      </c>
      <c r="N162" s="9">
        <v>2</v>
      </c>
      <c r="O162" s="72">
        <f t="shared" si="450"/>
        <v>804</v>
      </c>
      <c r="P162" s="74">
        <f t="shared" si="451"/>
        <v>80.400000000000006</v>
      </c>
      <c r="Q162" s="9">
        <f t="shared" si="452"/>
        <v>80.400000000000006</v>
      </c>
      <c r="R162" s="112">
        <f t="shared" si="453"/>
        <v>128.64000000000001</v>
      </c>
      <c r="S162" s="112"/>
      <c r="T162" s="112"/>
      <c r="U162" s="113">
        <f t="shared" si="454"/>
        <v>514.56000000000006</v>
      </c>
      <c r="V162" s="112">
        <f t="shared" si="455"/>
        <v>463.10400000000004</v>
      </c>
      <c r="W162" s="114"/>
      <c r="X162" s="115">
        <f t="shared" si="456"/>
        <v>3.0000000000000027E-2</v>
      </c>
      <c r="Y162" s="17">
        <f t="shared" si="457"/>
        <v>0.97</v>
      </c>
      <c r="Z162" s="5">
        <f t="shared" si="458"/>
        <v>658.25088000000005</v>
      </c>
      <c r="AA162" s="17"/>
      <c r="AB162" s="5">
        <f t="shared" si="459"/>
        <v>0</v>
      </c>
      <c r="AC162" s="67"/>
      <c r="AD162" s="5"/>
      <c r="AE162" s="67"/>
      <c r="AF162" s="4">
        <f t="shared" si="460"/>
        <v>0</v>
      </c>
      <c r="AG162" s="67"/>
      <c r="AH162" s="44">
        <f t="shared" si="461"/>
        <v>0</v>
      </c>
      <c r="AI162" s="17"/>
      <c r="AJ162" s="44">
        <f t="shared" si="462"/>
        <v>0</v>
      </c>
      <c r="AK162" s="67"/>
      <c r="AL162" s="44">
        <f t="shared" si="463"/>
        <v>0</v>
      </c>
      <c r="AM162" s="67"/>
      <c r="AN162" s="4">
        <f t="shared" si="464"/>
        <v>0</v>
      </c>
      <c r="AO162" s="67"/>
      <c r="AP162" s="4">
        <f t="shared" si="465"/>
        <v>0</v>
      </c>
      <c r="AQ162" s="17"/>
      <c r="AR162" s="4">
        <f t="shared" si="466"/>
        <v>0</v>
      </c>
      <c r="AS162" s="67"/>
      <c r="AT162" s="4">
        <f t="shared" si="467"/>
        <v>0</v>
      </c>
      <c r="AU162" s="73">
        <f t="shared" si="468"/>
        <v>13.893120000000014</v>
      </c>
    </row>
    <row r="163" spans="1:47" s="8" customFormat="1" x14ac:dyDescent="0.25">
      <c r="A163" s="21" t="s">
        <v>22</v>
      </c>
      <c r="B163" s="9">
        <f t="shared" si="446"/>
        <v>51.583999999999996</v>
      </c>
      <c r="C163" s="9"/>
      <c r="D163" s="9">
        <f t="shared" si="447"/>
        <v>0</v>
      </c>
      <c r="E163" s="10"/>
      <c r="F163" s="71" t="str">
        <f>F159</f>
        <v>Granit</v>
      </c>
      <c r="G163" s="70" t="s">
        <v>46</v>
      </c>
      <c r="H163" s="71" t="s">
        <v>80</v>
      </c>
      <c r="I163" s="9" t="s">
        <v>2</v>
      </c>
      <c r="J163" s="5">
        <f t="shared" si="448"/>
        <v>1612</v>
      </c>
      <c r="K163" s="9"/>
      <c r="L163" s="9">
        <f>L159</f>
        <v>806</v>
      </c>
      <c r="M163" s="9">
        <f t="shared" si="449"/>
        <v>806</v>
      </c>
      <c r="N163" s="9"/>
      <c r="O163" s="72">
        <f t="shared" si="450"/>
        <v>806</v>
      </c>
      <c r="P163" s="74">
        <f t="shared" si="451"/>
        <v>80.600000000000009</v>
      </c>
      <c r="Q163" s="9">
        <f t="shared" si="452"/>
        <v>80.600000000000009</v>
      </c>
      <c r="R163" s="112">
        <f t="shared" si="453"/>
        <v>128.96</v>
      </c>
      <c r="S163" s="112"/>
      <c r="T163" s="112"/>
      <c r="U163" s="113">
        <f t="shared" si="454"/>
        <v>515.83999999999992</v>
      </c>
      <c r="V163" s="112">
        <f t="shared" si="455"/>
        <v>464.25599999999991</v>
      </c>
      <c r="W163" s="114"/>
      <c r="X163" s="115">
        <f t="shared" si="456"/>
        <v>3.0000000000000027E-2</v>
      </c>
      <c r="Y163" s="17">
        <f t="shared" si="457"/>
        <v>0.97</v>
      </c>
      <c r="Z163" s="5">
        <f t="shared" si="458"/>
        <v>659.88831999999991</v>
      </c>
      <c r="AA163" s="17"/>
      <c r="AB163" s="5">
        <f t="shared" si="459"/>
        <v>0</v>
      </c>
      <c r="AC163" s="67"/>
      <c r="AD163" s="5"/>
      <c r="AE163" s="67"/>
      <c r="AF163" s="4">
        <f t="shared" si="460"/>
        <v>0</v>
      </c>
      <c r="AG163" s="67"/>
      <c r="AH163" s="44">
        <f t="shared" si="461"/>
        <v>0</v>
      </c>
      <c r="AI163" s="17"/>
      <c r="AJ163" s="44">
        <f t="shared" si="462"/>
        <v>0</v>
      </c>
      <c r="AK163" s="67"/>
      <c r="AL163" s="44">
        <f t="shared" si="463"/>
        <v>0</v>
      </c>
      <c r="AM163" s="67"/>
      <c r="AN163" s="4">
        <f t="shared" si="464"/>
        <v>0</v>
      </c>
      <c r="AO163" s="67"/>
      <c r="AP163" s="4">
        <f t="shared" si="465"/>
        <v>0</v>
      </c>
      <c r="AQ163" s="17"/>
      <c r="AR163" s="4">
        <f t="shared" si="466"/>
        <v>0</v>
      </c>
      <c r="AS163" s="67"/>
      <c r="AT163" s="4">
        <f t="shared" si="467"/>
        <v>0</v>
      </c>
      <c r="AU163" s="73">
        <f t="shared" si="468"/>
        <v>13.927680000000009</v>
      </c>
    </row>
    <row r="164" spans="1:47" s="8" customFormat="1" x14ac:dyDescent="0.25">
      <c r="A164" s="21"/>
      <c r="B164" s="9">
        <f t="shared" si="446"/>
        <v>0</v>
      </c>
      <c r="C164" s="9"/>
      <c r="D164" s="9">
        <f t="shared" si="447"/>
        <v>0</v>
      </c>
      <c r="E164" s="10"/>
      <c r="F164" s="71" t="str">
        <f>F159</f>
        <v>Granit</v>
      </c>
      <c r="G164" s="70" t="s">
        <v>46</v>
      </c>
      <c r="H164" s="71" t="s">
        <v>81</v>
      </c>
      <c r="I164" s="9" t="s">
        <v>6</v>
      </c>
      <c r="J164" s="5">
        <f t="shared" si="448"/>
        <v>1612</v>
      </c>
      <c r="K164" s="9"/>
      <c r="L164" s="9">
        <f>L159</f>
        <v>806</v>
      </c>
      <c r="M164" s="9">
        <f t="shared" si="449"/>
        <v>806</v>
      </c>
      <c r="N164" s="9"/>
      <c r="O164" s="72">
        <f t="shared" si="450"/>
        <v>806</v>
      </c>
      <c r="P164" s="74">
        <f t="shared" si="451"/>
        <v>80.600000000000009</v>
      </c>
      <c r="Q164" s="9">
        <f t="shared" si="452"/>
        <v>80.600000000000009</v>
      </c>
      <c r="R164" s="112">
        <f t="shared" si="453"/>
        <v>128.96</v>
      </c>
      <c r="S164" s="112"/>
      <c r="T164" s="112"/>
      <c r="U164" s="113">
        <f t="shared" si="454"/>
        <v>515.83999999999992</v>
      </c>
      <c r="V164" s="112">
        <f t="shared" si="455"/>
        <v>515.83999999999992</v>
      </c>
      <c r="W164" s="114"/>
      <c r="X164" s="115">
        <f t="shared" si="456"/>
        <v>3.0000000000000027E-2</v>
      </c>
      <c r="Y164" s="17">
        <f t="shared" si="457"/>
        <v>0.97</v>
      </c>
      <c r="Z164" s="5">
        <f t="shared" si="458"/>
        <v>709.92479999999989</v>
      </c>
      <c r="AA164" s="17"/>
      <c r="AB164" s="5">
        <f t="shared" si="459"/>
        <v>0</v>
      </c>
      <c r="AC164" s="67"/>
      <c r="AD164" s="5"/>
      <c r="AE164" s="67"/>
      <c r="AF164" s="4">
        <f t="shared" si="460"/>
        <v>0</v>
      </c>
      <c r="AG164" s="67"/>
      <c r="AH164" s="44">
        <f t="shared" si="461"/>
        <v>0</v>
      </c>
      <c r="AI164" s="17"/>
      <c r="AJ164" s="44">
        <f t="shared" si="462"/>
        <v>0</v>
      </c>
      <c r="AK164" s="67"/>
      <c r="AL164" s="44">
        <f t="shared" si="463"/>
        <v>0</v>
      </c>
      <c r="AM164" s="67"/>
      <c r="AN164" s="4">
        <f t="shared" si="464"/>
        <v>0</v>
      </c>
      <c r="AO164" s="67"/>
      <c r="AP164" s="4">
        <f t="shared" si="465"/>
        <v>0</v>
      </c>
      <c r="AQ164" s="17"/>
      <c r="AR164" s="4">
        <f t="shared" si="466"/>
        <v>0</v>
      </c>
      <c r="AS164" s="67"/>
      <c r="AT164" s="4">
        <f t="shared" si="467"/>
        <v>0</v>
      </c>
      <c r="AU164" s="73">
        <f t="shared" si="468"/>
        <v>15.475200000000012</v>
      </c>
    </row>
    <row r="165" spans="1:47" s="8" customFormat="1" x14ac:dyDescent="0.25">
      <c r="A165" s="21"/>
      <c r="B165" s="9">
        <f t="shared" si="446"/>
        <v>0</v>
      </c>
      <c r="C165" s="9"/>
      <c r="D165" s="9">
        <f t="shared" si="447"/>
        <v>0</v>
      </c>
      <c r="E165" s="10"/>
      <c r="F165" s="71" t="str">
        <f>F159</f>
        <v>Granit</v>
      </c>
      <c r="G165" s="70" t="s">
        <v>46</v>
      </c>
      <c r="H165" s="71" t="s">
        <v>82</v>
      </c>
      <c r="I165" s="9" t="s">
        <v>7</v>
      </c>
      <c r="J165" s="5">
        <f t="shared" si="448"/>
        <v>1612</v>
      </c>
      <c r="K165" s="9"/>
      <c r="L165" s="9">
        <f>L159</f>
        <v>806</v>
      </c>
      <c r="M165" s="9">
        <f t="shared" si="449"/>
        <v>806</v>
      </c>
      <c r="N165" s="9">
        <v>0</v>
      </c>
      <c r="O165" s="72">
        <f t="shared" si="450"/>
        <v>806</v>
      </c>
      <c r="P165" s="74">
        <f t="shared" si="451"/>
        <v>80.600000000000009</v>
      </c>
      <c r="Q165" s="9"/>
      <c r="R165" s="112">
        <f t="shared" si="453"/>
        <v>145.08000000000001</v>
      </c>
      <c r="S165" s="112"/>
      <c r="T165" s="112"/>
      <c r="U165" s="113">
        <f t="shared" si="454"/>
        <v>580.31999999999994</v>
      </c>
      <c r="V165" s="112">
        <f t="shared" si="455"/>
        <v>580.31999999999994</v>
      </c>
      <c r="W165" s="114"/>
      <c r="X165" s="115">
        <f t="shared" si="456"/>
        <v>3.0000000000000027E-2</v>
      </c>
      <c r="Y165" s="17">
        <f t="shared" si="457"/>
        <v>0.97</v>
      </c>
      <c r="Z165" s="5">
        <f t="shared" si="458"/>
        <v>707.99039999999991</v>
      </c>
      <c r="AA165" s="17"/>
      <c r="AB165" s="5">
        <f t="shared" si="459"/>
        <v>0</v>
      </c>
      <c r="AC165" s="67"/>
      <c r="AD165" s="5"/>
      <c r="AE165" s="67"/>
      <c r="AF165" s="4">
        <f t="shared" si="460"/>
        <v>0</v>
      </c>
      <c r="AG165" s="67"/>
      <c r="AH165" s="44">
        <f t="shared" si="461"/>
        <v>0</v>
      </c>
      <c r="AI165" s="17"/>
      <c r="AJ165" s="44">
        <f t="shared" si="462"/>
        <v>0</v>
      </c>
      <c r="AK165" s="67"/>
      <c r="AL165" s="44">
        <f t="shared" si="463"/>
        <v>0</v>
      </c>
      <c r="AM165" s="67"/>
      <c r="AN165" s="4">
        <f t="shared" si="464"/>
        <v>0</v>
      </c>
      <c r="AO165" s="67"/>
      <c r="AP165" s="4">
        <f t="shared" si="465"/>
        <v>0</v>
      </c>
      <c r="AQ165" s="17"/>
      <c r="AR165" s="4">
        <f t="shared" si="466"/>
        <v>0</v>
      </c>
      <c r="AS165" s="67"/>
      <c r="AT165" s="4">
        <f t="shared" si="467"/>
        <v>0</v>
      </c>
      <c r="AU165" s="73">
        <f t="shared" si="468"/>
        <v>17.409600000000015</v>
      </c>
    </row>
    <row r="166" spans="1:47" s="8" customFormat="1" x14ac:dyDescent="0.25">
      <c r="A166" s="21"/>
      <c r="B166" s="9">
        <f t="shared" si="446"/>
        <v>0</v>
      </c>
      <c r="C166" s="9"/>
      <c r="D166" s="9">
        <f t="shared" si="447"/>
        <v>0</v>
      </c>
      <c r="E166" s="10"/>
      <c r="F166" s="71" t="str">
        <f>F159</f>
        <v>Granit</v>
      </c>
      <c r="G166" s="70" t="s">
        <v>46</v>
      </c>
      <c r="H166" s="71" t="s">
        <v>83</v>
      </c>
      <c r="I166" s="9" t="s">
        <v>8</v>
      </c>
      <c r="J166" s="5">
        <f t="shared" si="448"/>
        <v>1612</v>
      </c>
      <c r="K166" s="9"/>
      <c r="L166" s="9">
        <f>L159</f>
        <v>806</v>
      </c>
      <c r="M166" s="9">
        <f t="shared" si="449"/>
        <v>806</v>
      </c>
      <c r="N166" s="9">
        <v>0</v>
      </c>
      <c r="O166" s="72">
        <f t="shared" si="450"/>
        <v>806</v>
      </c>
      <c r="P166" s="74">
        <f t="shared" si="451"/>
        <v>80.600000000000009</v>
      </c>
      <c r="Q166" s="9"/>
      <c r="R166" s="112"/>
      <c r="S166" s="112"/>
      <c r="T166" s="112"/>
      <c r="U166" s="113">
        <f t="shared" si="454"/>
        <v>725.4</v>
      </c>
      <c r="V166" s="112">
        <f t="shared" si="455"/>
        <v>725.4</v>
      </c>
      <c r="W166" s="114"/>
      <c r="X166" s="115">
        <f t="shared" si="456"/>
        <v>3.0000000000000027E-2</v>
      </c>
      <c r="Y166" s="17">
        <f t="shared" si="457"/>
        <v>0.97</v>
      </c>
      <c r="Z166" s="5">
        <f t="shared" si="458"/>
        <v>703.63799999999992</v>
      </c>
      <c r="AA166" s="17"/>
      <c r="AB166" s="5">
        <f t="shared" si="459"/>
        <v>0</v>
      </c>
      <c r="AC166" s="67"/>
      <c r="AD166" s="5"/>
      <c r="AE166" s="67"/>
      <c r="AF166" s="4">
        <f t="shared" si="460"/>
        <v>0</v>
      </c>
      <c r="AG166" s="67"/>
      <c r="AH166" s="44">
        <f t="shared" si="461"/>
        <v>0</v>
      </c>
      <c r="AI166" s="17"/>
      <c r="AJ166" s="44">
        <f t="shared" si="462"/>
        <v>0</v>
      </c>
      <c r="AK166" s="67"/>
      <c r="AL166" s="44">
        <f t="shared" si="463"/>
        <v>0</v>
      </c>
      <c r="AM166" s="67"/>
      <c r="AN166" s="4">
        <f t="shared" si="464"/>
        <v>0</v>
      </c>
      <c r="AO166" s="67"/>
      <c r="AP166" s="4">
        <f t="shared" si="465"/>
        <v>0</v>
      </c>
      <c r="AQ166" s="17"/>
      <c r="AR166" s="4">
        <f t="shared" si="466"/>
        <v>0</v>
      </c>
      <c r="AS166" s="67"/>
      <c r="AT166" s="4">
        <f t="shared" si="467"/>
        <v>0</v>
      </c>
      <c r="AU166" s="73">
        <f t="shared" si="468"/>
        <v>21.762000000000018</v>
      </c>
    </row>
    <row r="167" spans="1:47" s="8" customFormat="1" x14ac:dyDescent="0.25">
      <c r="A167" s="21"/>
      <c r="B167" s="9">
        <f t="shared" si="446"/>
        <v>0</v>
      </c>
      <c r="C167" s="9"/>
      <c r="D167" s="9">
        <f t="shared" si="447"/>
        <v>0</v>
      </c>
      <c r="E167" s="10"/>
      <c r="F167" s="71" t="str">
        <f>F159</f>
        <v>Granit</v>
      </c>
      <c r="G167" s="70" t="s">
        <v>46</v>
      </c>
      <c r="H167" s="71" t="s">
        <v>84</v>
      </c>
      <c r="I167" s="9" t="s">
        <v>9</v>
      </c>
      <c r="J167" s="5">
        <f t="shared" si="448"/>
        <v>1612</v>
      </c>
      <c r="K167" s="9"/>
      <c r="L167" s="9">
        <f>L159</f>
        <v>806</v>
      </c>
      <c r="M167" s="9">
        <f t="shared" si="449"/>
        <v>806</v>
      </c>
      <c r="N167" s="9"/>
      <c r="O167" s="72">
        <f t="shared" si="450"/>
        <v>806</v>
      </c>
      <c r="P167" s="74">
        <f t="shared" ref="P167" si="469">(M167-N167)*15%</f>
        <v>120.89999999999999</v>
      </c>
      <c r="Q167" s="9"/>
      <c r="R167" s="112"/>
      <c r="S167" s="112"/>
      <c r="T167" s="112"/>
      <c r="U167" s="113">
        <f t="shared" si="454"/>
        <v>685.1</v>
      </c>
      <c r="V167" s="112">
        <f t="shared" si="455"/>
        <v>685.1</v>
      </c>
      <c r="W167" s="114"/>
      <c r="X167" s="115">
        <f t="shared" si="456"/>
        <v>3.0000000000000027E-2</v>
      </c>
      <c r="Y167" s="17">
        <f t="shared" si="457"/>
        <v>0.97</v>
      </c>
      <c r="Z167" s="5">
        <f t="shared" si="458"/>
        <v>664.54700000000003</v>
      </c>
      <c r="AA167" s="17"/>
      <c r="AB167" s="5"/>
      <c r="AC167" s="67"/>
      <c r="AD167" s="5"/>
      <c r="AE167" s="67"/>
      <c r="AF167" s="4">
        <f t="shared" si="460"/>
        <v>0</v>
      </c>
      <c r="AG167" s="67"/>
      <c r="AH167" s="44">
        <f t="shared" si="461"/>
        <v>0</v>
      </c>
      <c r="AI167" s="17"/>
      <c r="AJ167" s="44">
        <f t="shared" si="462"/>
        <v>0</v>
      </c>
      <c r="AK167" s="67"/>
      <c r="AL167" s="44">
        <f t="shared" si="463"/>
        <v>0</v>
      </c>
      <c r="AM167" s="67"/>
      <c r="AN167" s="4">
        <f t="shared" si="464"/>
        <v>0</v>
      </c>
      <c r="AO167" s="67"/>
      <c r="AP167" s="4">
        <f t="shared" si="465"/>
        <v>0</v>
      </c>
      <c r="AQ167" s="17"/>
      <c r="AR167" s="4">
        <f t="shared" si="466"/>
        <v>0</v>
      </c>
      <c r="AS167" s="67"/>
      <c r="AT167" s="4">
        <f t="shared" si="467"/>
        <v>0</v>
      </c>
      <c r="AU167" s="73">
        <f t="shared" si="468"/>
        <v>20.553000000000019</v>
      </c>
    </row>
    <row r="168" spans="1:47" s="8" customFormat="1" x14ac:dyDescent="0.25">
      <c r="A168" s="21"/>
      <c r="B168" s="9"/>
      <c r="C168" s="9"/>
      <c r="D168" s="9"/>
      <c r="E168" s="10"/>
      <c r="F168" s="71" t="str">
        <f>F159</f>
        <v>Granit</v>
      </c>
      <c r="G168" s="70" t="s">
        <v>46</v>
      </c>
      <c r="H168" s="71" t="s">
        <v>85</v>
      </c>
      <c r="I168" s="9" t="s">
        <v>10</v>
      </c>
      <c r="J168" s="9">
        <f t="shared" si="448"/>
        <v>1612</v>
      </c>
      <c r="K168" s="5"/>
      <c r="L168" s="5">
        <v>806</v>
      </c>
      <c r="M168" s="9">
        <f>L168</f>
        <v>806</v>
      </c>
      <c r="N168" s="5"/>
      <c r="O168" s="72">
        <f t="shared" si="450"/>
        <v>806</v>
      </c>
      <c r="P168" s="74">
        <f t="shared" ref="P168:P170" si="470">(M168-N168)*5%</f>
        <v>40.300000000000004</v>
      </c>
      <c r="Q168" s="9"/>
      <c r="R168" s="112"/>
      <c r="S168" s="112"/>
      <c r="T168" s="112"/>
      <c r="U168" s="79">
        <f t="shared" si="454"/>
        <v>765.7</v>
      </c>
      <c r="V168" s="70">
        <f t="shared" si="455"/>
        <v>765.7</v>
      </c>
      <c r="W168" s="114"/>
      <c r="X168" s="115">
        <f t="shared" si="456"/>
        <v>1.0000000000000009E-2</v>
      </c>
      <c r="Y168" s="17">
        <f t="shared" ref="Y168:Y170" si="471">(99%-AA168-AC168-AE168-AG168-AI168-AK168-AM168-AO168-AQ168)</f>
        <v>0.99</v>
      </c>
      <c r="Z168" s="9">
        <f t="shared" si="458"/>
        <v>758.04300000000001</v>
      </c>
      <c r="AA168" s="17"/>
      <c r="AB168" s="5"/>
      <c r="AC168" s="17"/>
      <c r="AD168" s="9"/>
      <c r="AE168" s="67"/>
      <c r="AF168" s="4">
        <f t="shared" si="460"/>
        <v>0</v>
      </c>
      <c r="AG168" s="67"/>
      <c r="AH168" s="57">
        <f t="shared" si="461"/>
        <v>0</v>
      </c>
      <c r="AI168" s="17"/>
      <c r="AJ168" s="57">
        <f t="shared" si="462"/>
        <v>0</v>
      </c>
      <c r="AK168" s="67"/>
      <c r="AL168" s="57">
        <f t="shared" si="463"/>
        <v>0</v>
      </c>
      <c r="AM168" s="67"/>
      <c r="AN168" s="9">
        <f t="shared" si="464"/>
        <v>0</v>
      </c>
      <c r="AO168" s="67"/>
      <c r="AP168" s="10">
        <f t="shared" si="465"/>
        <v>0</v>
      </c>
      <c r="AQ168" s="17"/>
      <c r="AR168" s="10">
        <f t="shared" si="466"/>
        <v>0</v>
      </c>
      <c r="AS168" s="67"/>
      <c r="AT168" s="10">
        <f t="shared" si="467"/>
        <v>0</v>
      </c>
      <c r="AU168" s="73">
        <f t="shared" si="468"/>
        <v>7.6570000000000071</v>
      </c>
    </row>
    <row r="169" spans="1:47" s="8" customFormat="1" x14ac:dyDescent="0.25">
      <c r="A169" s="21"/>
      <c r="B169" s="9">
        <f t="shared" si="446"/>
        <v>0</v>
      </c>
      <c r="C169" s="9"/>
      <c r="D169" s="9">
        <f t="shared" si="447"/>
        <v>0</v>
      </c>
      <c r="E169" s="10"/>
      <c r="F169" s="71" t="str">
        <f>F159</f>
        <v>Granit</v>
      </c>
      <c r="G169" s="70" t="s">
        <v>46</v>
      </c>
      <c r="H169" s="71" t="s">
        <v>86</v>
      </c>
      <c r="I169" s="9" t="s">
        <v>11</v>
      </c>
      <c r="J169" s="5">
        <f t="shared" si="448"/>
        <v>1612</v>
      </c>
      <c r="K169" s="9"/>
      <c r="L169" s="9">
        <f>L159</f>
        <v>806</v>
      </c>
      <c r="M169" s="9"/>
      <c r="N169" s="9">
        <v>0</v>
      </c>
      <c r="O169" s="72">
        <f t="shared" si="450"/>
        <v>0</v>
      </c>
      <c r="P169" s="74">
        <f t="shared" si="470"/>
        <v>0</v>
      </c>
      <c r="Q169" s="9"/>
      <c r="R169" s="112"/>
      <c r="S169" s="112"/>
      <c r="T169" s="112"/>
      <c r="U169" s="113">
        <f t="shared" si="454"/>
        <v>0</v>
      </c>
      <c r="V169" s="112">
        <f t="shared" si="455"/>
        <v>0</v>
      </c>
      <c r="W169" s="114"/>
      <c r="X169" s="115">
        <f t="shared" si="456"/>
        <v>9.9999999999999811E-3</v>
      </c>
      <c r="Y169" s="17">
        <f t="shared" si="471"/>
        <v>0.78</v>
      </c>
      <c r="Z169" s="9">
        <f t="shared" si="458"/>
        <v>0</v>
      </c>
      <c r="AA169" s="17">
        <v>0.15</v>
      </c>
      <c r="AB169" s="5">
        <f t="shared" ref="AB169:AB170" si="472">(V169*AA169)</f>
        <v>0</v>
      </c>
      <c r="AC169" s="17">
        <v>0.06</v>
      </c>
      <c r="AD169" s="9">
        <f t="shared" ref="AD169:AD170" si="473">V169*AC169</f>
        <v>0</v>
      </c>
      <c r="AE169" s="17"/>
      <c r="AF169" s="4">
        <f t="shared" si="460"/>
        <v>0</v>
      </c>
      <c r="AG169" s="17"/>
      <c r="AH169" s="44">
        <f t="shared" si="461"/>
        <v>0</v>
      </c>
      <c r="AI169" s="17"/>
      <c r="AJ169" s="44">
        <f t="shared" si="462"/>
        <v>0</v>
      </c>
      <c r="AK169" s="17"/>
      <c r="AL169" s="44">
        <f t="shared" si="463"/>
        <v>0</v>
      </c>
      <c r="AM169" s="17"/>
      <c r="AN169" s="5">
        <f t="shared" si="464"/>
        <v>0</v>
      </c>
      <c r="AO169" s="17"/>
      <c r="AP169" s="4">
        <f t="shared" si="465"/>
        <v>0</v>
      </c>
      <c r="AQ169" s="17"/>
      <c r="AR169" s="4">
        <f t="shared" si="466"/>
        <v>0</v>
      </c>
      <c r="AS169" s="17"/>
      <c r="AT169" s="4">
        <f t="shared" si="467"/>
        <v>0</v>
      </c>
      <c r="AU169" s="73">
        <f t="shared" si="468"/>
        <v>0</v>
      </c>
    </row>
    <row r="170" spans="1:47" s="8" customFormat="1" x14ac:dyDescent="0.25">
      <c r="A170" s="21"/>
      <c r="B170" s="9">
        <f t="shared" si="446"/>
        <v>0</v>
      </c>
      <c r="C170" s="9"/>
      <c r="D170" s="9">
        <f t="shared" si="447"/>
        <v>0</v>
      </c>
      <c r="E170" s="10"/>
      <c r="F170" s="71" t="str">
        <f>F159</f>
        <v>Granit</v>
      </c>
      <c r="G170" s="70" t="s">
        <v>46</v>
      </c>
      <c r="H170" s="71" t="s">
        <v>87</v>
      </c>
      <c r="I170" s="9" t="s">
        <v>12</v>
      </c>
      <c r="J170" s="5">
        <f t="shared" si="448"/>
        <v>1612</v>
      </c>
      <c r="K170" s="9"/>
      <c r="L170" s="9">
        <f>L159</f>
        <v>806</v>
      </c>
      <c r="M170" s="9"/>
      <c r="N170" s="9">
        <v>0</v>
      </c>
      <c r="O170" s="72">
        <f t="shared" si="450"/>
        <v>0</v>
      </c>
      <c r="P170" s="74">
        <f t="shared" si="470"/>
        <v>0</v>
      </c>
      <c r="Q170" s="9"/>
      <c r="R170" s="112"/>
      <c r="S170" s="112"/>
      <c r="T170" s="112"/>
      <c r="U170" s="113">
        <f t="shared" si="454"/>
        <v>0</v>
      </c>
      <c r="V170" s="112">
        <f t="shared" si="455"/>
        <v>0</v>
      </c>
      <c r="W170" s="114"/>
      <c r="X170" s="115">
        <f t="shared" si="456"/>
        <v>9.9999999999999811E-3</v>
      </c>
      <c r="Y170" s="17">
        <f t="shared" si="471"/>
        <v>0.78</v>
      </c>
      <c r="Z170" s="9">
        <f t="shared" si="458"/>
        <v>0</v>
      </c>
      <c r="AA170" s="17">
        <v>0.15</v>
      </c>
      <c r="AB170" s="5">
        <f t="shared" si="472"/>
        <v>0</v>
      </c>
      <c r="AC170" s="17">
        <v>0.06</v>
      </c>
      <c r="AD170" s="9">
        <f t="shared" si="473"/>
        <v>0</v>
      </c>
      <c r="AE170" s="17"/>
      <c r="AF170" s="4">
        <f t="shared" si="460"/>
        <v>0</v>
      </c>
      <c r="AG170" s="17"/>
      <c r="AH170" s="44">
        <f t="shared" si="461"/>
        <v>0</v>
      </c>
      <c r="AI170" s="17"/>
      <c r="AJ170" s="44">
        <f t="shared" si="462"/>
        <v>0</v>
      </c>
      <c r="AK170" s="17"/>
      <c r="AL170" s="44">
        <f t="shared" si="463"/>
        <v>0</v>
      </c>
      <c r="AM170" s="17"/>
      <c r="AN170" s="5">
        <f t="shared" si="464"/>
        <v>0</v>
      </c>
      <c r="AO170" s="17"/>
      <c r="AP170" s="4">
        <f t="shared" si="465"/>
        <v>0</v>
      </c>
      <c r="AQ170" s="17"/>
      <c r="AR170" s="4">
        <f t="shared" si="466"/>
        <v>0</v>
      </c>
      <c r="AS170" s="17"/>
      <c r="AT170" s="4">
        <f t="shared" si="467"/>
        <v>0</v>
      </c>
      <c r="AU170" s="73">
        <f t="shared" si="468"/>
        <v>0</v>
      </c>
    </row>
    <row r="171" spans="1:47" x14ac:dyDescent="0.25">
      <c r="A171" s="77"/>
      <c r="B171" s="77"/>
      <c r="C171" s="77"/>
      <c r="D171" s="77"/>
      <c r="E171" s="77"/>
      <c r="F171" s="77"/>
      <c r="G171" s="77"/>
      <c r="H171" s="77"/>
      <c r="I171" s="70" t="s">
        <v>10</v>
      </c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</row>
    <row r="172" spans="1:47" s="8" customFormat="1" x14ac:dyDescent="0.25">
      <c r="A172" s="21"/>
      <c r="B172" s="9">
        <f t="shared" ref="B172:B176" si="474">IF(A172="",0,((O172)*20%))</f>
        <v>0</v>
      </c>
      <c r="C172" s="9"/>
      <c r="D172" s="9">
        <f t="shared" ref="D172:D176" si="475">IF(C172="",0,((O172)*5%))</f>
        <v>0</v>
      </c>
      <c r="E172" s="10"/>
      <c r="F172" s="68" t="s">
        <v>47</v>
      </c>
      <c r="G172" s="60" t="s">
        <v>149</v>
      </c>
      <c r="H172" s="61">
        <v>0.09</v>
      </c>
      <c r="I172" s="9" t="s">
        <v>12</v>
      </c>
      <c r="J172" s="5">
        <f t="shared" ref="J172:J176" si="476">L172*2</f>
        <v>2000</v>
      </c>
      <c r="K172" s="9"/>
      <c r="L172" s="9">
        <v>1000</v>
      </c>
      <c r="M172" s="9"/>
      <c r="N172" s="9">
        <v>0</v>
      </c>
      <c r="O172" s="72">
        <f t="shared" si="442"/>
        <v>0</v>
      </c>
      <c r="P172" s="74">
        <f t="shared" ref="P172:P176" si="477">(M172-N172)*5%</f>
        <v>0</v>
      </c>
      <c r="Q172" s="9"/>
      <c r="R172" s="70"/>
      <c r="S172" s="70"/>
      <c r="T172" s="70"/>
      <c r="U172" s="79">
        <f t="shared" ref="U172:U176" si="478">M172-N172-P172-Q172-R172-S172</f>
        <v>0</v>
      </c>
      <c r="V172" s="70">
        <f t="shared" ref="V172:V176" si="479">U172-B172-D172</f>
        <v>0</v>
      </c>
      <c r="W172" s="77"/>
      <c r="X172" s="78">
        <f t="shared" ref="X172:X176" si="480">100%-Y172-AA172-AC172-AE172-AG172-AI172-AK172-AM172-AO172-AQ172</f>
        <v>1.0000000000000009E-2</v>
      </c>
      <c r="Y172" s="17">
        <f t="shared" ref="Y172" si="481">(99%-AA172-AC172-AE172-AG172-AI172-AK172-AM172-AO172-AQ172)</f>
        <v>0.73</v>
      </c>
      <c r="Z172" s="65">
        <f t="shared" ref="Z172" si="482">(V172*Y172)+Q172+R172</f>
        <v>0</v>
      </c>
      <c r="AA172" s="17">
        <v>0.2</v>
      </c>
      <c r="AB172" s="9">
        <f t="shared" ref="AB172" si="483">(V172*AA172)</f>
        <v>0</v>
      </c>
      <c r="AC172" s="17">
        <v>0.06</v>
      </c>
      <c r="AD172" s="9">
        <f t="shared" ref="AD172" si="484">V172*AC172</f>
        <v>0</v>
      </c>
      <c r="AE172" s="17"/>
      <c r="AF172" s="5">
        <f t="shared" ref="AF172" si="485">V172*AE172</f>
        <v>0</v>
      </c>
      <c r="AG172" s="17"/>
      <c r="AH172" s="44">
        <f t="shared" ref="AH172" si="486">V172*AG172</f>
        <v>0</v>
      </c>
      <c r="AI172" s="17"/>
      <c r="AJ172" s="44">
        <f t="shared" ref="AJ172:AJ176" si="487">V172*AI172</f>
        <v>0</v>
      </c>
      <c r="AK172" s="67"/>
      <c r="AL172" s="44">
        <f t="shared" ref="AL172:AL176" si="488">V172*AK172</f>
        <v>0</v>
      </c>
      <c r="AM172" s="67"/>
      <c r="AN172" s="4">
        <f t="shared" ref="AN172" si="489">V172*AM172</f>
        <v>0</v>
      </c>
      <c r="AO172" s="67"/>
      <c r="AP172" s="4">
        <f t="shared" ref="AP172" si="490">V172*AO172</f>
        <v>0</v>
      </c>
      <c r="AQ172" s="17"/>
      <c r="AR172" s="5">
        <f t="shared" ref="AR172" si="491">V172*AQ172</f>
        <v>0</v>
      </c>
      <c r="AS172" s="67"/>
      <c r="AT172" s="5">
        <f t="shared" ref="AT172:AT176" si="492">X172*AS172</f>
        <v>0</v>
      </c>
      <c r="AU172" s="73">
        <f t="shared" ref="AU172" si="493">V172*X172</f>
        <v>0</v>
      </c>
    </row>
    <row r="173" spans="1:47" s="8" customFormat="1" x14ac:dyDescent="0.25">
      <c r="A173" s="21"/>
      <c r="B173" s="9">
        <f t="shared" si="474"/>
        <v>0</v>
      </c>
      <c r="C173" s="9"/>
      <c r="D173" s="9">
        <f t="shared" si="475"/>
        <v>0</v>
      </c>
      <c r="E173" s="10"/>
      <c r="F173" s="68" t="s">
        <v>51</v>
      </c>
      <c r="G173" s="60" t="s">
        <v>149</v>
      </c>
      <c r="H173" s="61">
        <v>0.09</v>
      </c>
      <c r="I173" s="9" t="s">
        <v>12</v>
      </c>
      <c r="J173" s="5">
        <f t="shared" si="476"/>
        <v>2000</v>
      </c>
      <c r="K173" s="9"/>
      <c r="L173" s="9">
        <v>1000</v>
      </c>
      <c r="M173" s="9"/>
      <c r="N173" s="9">
        <v>0</v>
      </c>
      <c r="O173" s="72">
        <f t="shared" si="442"/>
        <v>0</v>
      </c>
      <c r="P173" s="74">
        <f t="shared" si="477"/>
        <v>0</v>
      </c>
      <c r="Q173" s="9"/>
      <c r="R173" s="70"/>
      <c r="S173" s="70"/>
      <c r="T173" s="70"/>
      <c r="U173" s="79">
        <f t="shared" si="478"/>
        <v>0</v>
      </c>
      <c r="V173" s="70">
        <f t="shared" si="479"/>
        <v>0</v>
      </c>
      <c r="W173" s="77"/>
      <c r="X173" s="78">
        <f t="shared" si="480"/>
        <v>9.9999999999999534E-3</v>
      </c>
      <c r="Y173" s="17">
        <f t="shared" ref="Y173" si="494">(99%-AA173-AC173-AE173-AG173-AI173-AK173-AM173-AO173-AQ173)</f>
        <v>0.53</v>
      </c>
      <c r="Z173" s="65">
        <f t="shared" ref="Z173" si="495">(V173*Y173)+Q173+R173</f>
        <v>0</v>
      </c>
      <c r="AA173" s="17">
        <v>0.2</v>
      </c>
      <c r="AB173" s="9">
        <f t="shared" ref="AB173" si="496">(V173*AA173)</f>
        <v>0</v>
      </c>
      <c r="AC173" s="17">
        <v>0.06</v>
      </c>
      <c r="AD173" s="9">
        <f t="shared" ref="AD173" si="497">V173*AC173</f>
        <v>0</v>
      </c>
      <c r="AE173" s="17">
        <v>0.1</v>
      </c>
      <c r="AF173" s="5">
        <f t="shared" ref="AF173:AF176" si="498">V173*AE173</f>
        <v>0</v>
      </c>
      <c r="AG173" s="17">
        <v>0.1</v>
      </c>
      <c r="AH173" s="44">
        <f t="shared" ref="AH173:AH176" si="499">V173*AG173</f>
        <v>0</v>
      </c>
      <c r="AI173" s="17"/>
      <c r="AJ173" s="44">
        <f t="shared" si="487"/>
        <v>0</v>
      </c>
      <c r="AK173" s="67"/>
      <c r="AL173" s="44">
        <f t="shared" si="488"/>
        <v>0</v>
      </c>
      <c r="AM173" s="67"/>
      <c r="AN173" s="4">
        <f t="shared" ref="AN173" si="500">V173*AM173</f>
        <v>0</v>
      </c>
      <c r="AO173" s="67"/>
      <c r="AP173" s="4">
        <f t="shared" ref="AP173" si="501">V173*AO173</f>
        <v>0</v>
      </c>
      <c r="AQ173" s="17"/>
      <c r="AR173" s="5">
        <f t="shared" ref="AR173:AR176" si="502">V173*AQ173</f>
        <v>0</v>
      </c>
      <c r="AS173" s="67"/>
      <c r="AT173" s="5">
        <f t="shared" si="492"/>
        <v>0</v>
      </c>
      <c r="AU173" s="73">
        <f t="shared" ref="AU173" si="503">V173*X173</f>
        <v>0</v>
      </c>
    </row>
    <row r="174" spans="1:47" x14ac:dyDescent="0.25">
      <c r="A174" s="21"/>
      <c r="C174" s="9"/>
      <c r="D174" s="10"/>
      <c r="E174" s="10"/>
      <c r="F174" s="8"/>
      <c r="G174" s="8"/>
      <c r="H174" s="8"/>
      <c r="I174" s="9"/>
      <c r="J174" s="9"/>
      <c r="K174" s="9"/>
      <c r="L174" s="9"/>
      <c r="M174" s="9"/>
      <c r="N174" s="9"/>
      <c r="O174" s="9"/>
      <c r="P174" s="9"/>
      <c r="Q174" s="9"/>
      <c r="Z174" s="5"/>
      <c r="AB174" s="5"/>
      <c r="AC174" s="17">
        <v>0.06</v>
      </c>
      <c r="AD174" s="5"/>
      <c r="AH174" s="44"/>
      <c r="AJ174" s="44"/>
      <c r="AL174" s="44"/>
      <c r="AN174" s="5"/>
      <c r="AP174" s="5"/>
      <c r="AR174" s="5"/>
      <c r="AT174" s="5"/>
    </row>
    <row r="175" spans="1:47" s="8" customFormat="1" x14ac:dyDescent="0.25">
      <c r="A175" s="21"/>
      <c r="B175" s="9">
        <f t="shared" ref="B175" si="504">IF(A175="",0,((O175)*20%))</f>
        <v>0</v>
      </c>
      <c r="C175" s="9"/>
      <c r="D175" s="9">
        <f t="shared" ref="D175" si="505">IF(C175="",0,((O175)*5%))</f>
        <v>0</v>
      </c>
      <c r="E175" s="10"/>
      <c r="F175" s="68" t="s">
        <v>118</v>
      </c>
      <c r="G175" s="60" t="s">
        <v>149</v>
      </c>
      <c r="H175" s="61">
        <v>0.09</v>
      </c>
      <c r="I175" s="9" t="s">
        <v>11</v>
      </c>
      <c r="J175" s="5">
        <f t="shared" ref="J175" si="506">L175*2</f>
        <v>900</v>
      </c>
      <c r="K175" s="9"/>
      <c r="L175" s="9">
        <v>450</v>
      </c>
      <c r="M175" s="9"/>
      <c r="N175" s="9">
        <v>0</v>
      </c>
      <c r="O175" s="72">
        <f t="shared" ref="O175" si="507">M175-N175</f>
        <v>0</v>
      </c>
      <c r="P175" s="74">
        <f t="shared" si="477"/>
        <v>0</v>
      </c>
      <c r="Q175" s="9"/>
      <c r="R175" s="70"/>
      <c r="S175" s="70"/>
      <c r="T175" s="70"/>
      <c r="U175" s="79">
        <f t="shared" ref="U175" si="508">M175-N175-P175-Q175-R175-S175</f>
        <v>0</v>
      </c>
      <c r="V175" s="70">
        <f t="shared" ref="V175" si="509">U175-B175-D175</f>
        <v>0</v>
      </c>
      <c r="W175" s="77"/>
      <c r="X175" s="78">
        <f t="shared" si="480"/>
        <v>1.0000000000000009E-2</v>
      </c>
      <c r="Y175" s="17">
        <f t="shared" ref="Y175:Y176" si="510">(99%-AA175-AC175-AE175-AG175-AI175-AK175-AM175-AO175-AQ175)</f>
        <v>0.73</v>
      </c>
      <c r="Z175" s="65">
        <f t="shared" ref="Z175:Z176" si="511">(V175*Y175)+Q175+R175</f>
        <v>0</v>
      </c>
      <c r="AA175" s="17">
        <v>0.2</v>
      </c>
      <c r="AB175" s="9">
        <f t="shared" ref="AB175:AB176" si="512">(V175*AA175)</f>
        <v>0</v>
      </c>
      <c r="AC175" s="17">
        <v>0.06</v>
      </c>
      <c r="AD175" s="9">
        <f t="shared" ref="AD175:AD176" si="513">V175*AC175</f>
        <v>0</v>
      </c>
      <c r="AE175" s="17"/>
      <c r="AF175" s="5">
        <f t="shared" si="498"/>
        <v>0</v>
      </c>
      <c r="AG175" s="17"/>
      <c r="AH175" s="44">
        <f t="shared" si="499"/>
        <v>0</v>
      </c>
      <c r="AI175" s="17"/>
      <c r="AJ175" s="44">
        <f t="shared" si="487"/>
        <v>0</v>
      </c>
      <c r="AK175" s="67"/>
      <c r="AL175" s="44">
        <f t="shared" ref="AL175" si="514">V175*AK175</f>
        <v>0</v>
      </c>
      <c r="AM175" s="67"/>
      <c r="AN175" s="4">
        <f t="shared" ref="AN175" si="515">V175*AM175</f>
        <v>0</v>
      </c>
      <c r="AO175" s="67"/>
      <c r="AP175" s="4">
        <f t="shared" ref="AP175" si="516">V175*AO175</f>
        <v>0</v>
      </c>
      <c r="AQ175" s="17"/>
      <c r="AR175" s="5">
        <f t="shared" si="502"/>
        <v>0</v>
      </c>
      <c r="AS175" s="67"/>
      <c r="AT175" s="5">
        <f t="shared" si="492"/>
        <v>0</v>
      </c>
      <c r="AU175" s="73">
        <f t="shared" ref="AU175" si="517">V175*X175</f>
        <v>0</v>
      </c>
    </row>
    <row r="176" spans="1:47" s="8" customFormat="1" x14ac:dyDescent="0.25">
      <c r="A176" s="21"/>
      <c r="B176" s="9">
        <f t="shared" si="474"/>
        <v>0</v>
      </c>
      <c r="C176" s="9"/>
      <c r="D176" s="9">
        <f t="shared" si="475"/>
        <v>0</v>
      </c>
      <c r="E176" s="10"/>
      <c r="F176" s="68" t="s">
        <v>118</v>
      </c>
      <c r="G176" s="60" t="s">
        <v>149</v>
      </c>
      <c r="H176" s="61">
        <v>0.09</v>
      </c>
      <c r="I176" s="9" t="s">
        <v>12</v>
      </c>
      <c r="J176" s="5">
        <f t="shared" si="476"/>
        <v>900</v>
      </c>
      <c r="K176" s="9"/>
      <c r="L176" s="9">
        <v>450</v>
      </c>
      <c r="M176" s="9"/>
      <c r="N176" s="9">
        <v>0</v>
      </c>
      <c r="O176" s="72">
        <f t="shared" si="442"/>
        <v>0</v>
      </c>
      <c r="P176" s="74">
        <f t="shared" si="477"/>
        <v>0</v>
      </c>
      <c r="Q176" s="9"/>
      <c r="R176" s="70"/>
      <c r="S176" s="70"/>
      <c r="T176" s="70"/>
      <c r="U176" s="79">
        <f t="shared" si="478"/>
        <v>0</v>
      </c>
      <c r="V176" s="70">
        <f t="shared" si="479"/>
        <v>0</v>
      </c>
      <c r="W176" s="77"/>
      <c r="X176" s="78">
        <f t="shared" si="480"/>
        <v>1.0000000000000009E-2</v>
      </c>
      <c r="Y176" s="17">
        <f t="shared" si="510"/>
        <v>0.73</v>
      </c>
      <c r="Z176" s="65">
        <f t="shared" si="511"/>
        <v>0</v>
      </c>
      <c r="AA176" s="17">
        <v>0.2</v>
      </c>
      <c r="AB176" s="9">
        <f t="shared" si="512"/>
        <v>0</v>
      </c>
      <c r="AC176" s="17">
        <v>0.06</v>
      </c>
      <c r="AD176" s="9">
        <f t="shared" si="513"/>
        <v>0</v>
      </c>
      <c r="AE176" s="17"/>
      <c r="AF176" s="5">
        <f t="shared" si="498"/>
        <v>0</v>
      </c>
      <c r="AG176" s="17"/>
      <c r="AH176" s="44">
        <f t="shared" si="499"/>
        <v>0</v>
      </c>
      <c r="AI176" s="17"/>
      <c r="AJ176" s="44">
        <f t="shared" si="487"/>
        <v>0</v>
      </c>
      <c r="AK176" s="67"/>
      <c r="AL176" s="44">
        <f t="shared" si="488"/>
        <v>0</v>
      </c>
      <c r="AM176" s="67"/>
      <c r="AN176" s="4">
        <f t="shared" ref="AN176" si="518">V176*AM176</f>
        <v>0</v>
      </c>
      <c r="AO176" s="67"/>
      <c r="AP176" s="4">
        <f t="shared" ref="AP176" si="519">V176*AO176</f>
        <v>0</v>
      </c>
      <c r="AQ176" s="17"/>
      <c r="AR176" s="5">
        <f t="shared" si="502"/>
        <v>0</v>
      </c>
      <c r="AS176" s="67"/>
      <c r="AT176" s="5">
        <f t="shared" si="492"/>
        <v>0</v>
      </c>
      <c r="AU176" s="73">
        <f t="shared" ref="AU176" si="520">V176*X176</f>
        <v>0</v>
      </c>
    </row>
    <row r="177" spans="1:47" x14ac:dyDescent="0.25">
      <c r="A177" s="9"/>
      <c r="C177" s="9"/>
      <c r="D177" s="9"/>
      <c r="E177" s="9"/>
      <c r="F177" s="8"/>
      <c r="G177" s="8"/>
      <c r="H177" s="8"/>
      <c r="I177" s="9"/>
      <c r="J177" s="9"/>
      <c r="K177" s="9"/>
      <c r="L177" s="9"/>
      <c r="N177" s="9"/>
      <c r="O177" s="9"/>
      <c r="P177" s="9"/>
      <c r="Q177" s="9"/>
      <c r="R177" s="14"/>
      <c r="S177" s="10"/>
      <c r="T177" s="10"/>
      <c r="U177" s="16"/>
      <c r="V177" s="10"/>
      <c r="W177" s="16"/>
      <c r="X177" s="16"/>
      <c r="Y177" s="17"/>
      <c r="Z177" s="10"/>
      <c r="AA177" s="128"/>
      <c r="AB177" s="69"/>
      <c r="AC177" s="67"/>
      <c r="AD177" s="10"/>
      <c r="AE177" s="67"/>
      <c r="AF177" s="10"/>
      <c r="AG177" s="67"/>
      <c r="AI177" s="48"/>
      <c r="AK177" s="67"/>
      <c r="AM177" s="67"/>
      <c r="AN177" s="15"/>
      <c r="AO177" s="84"/>
      <c r="AP177" s="15"/>
      <c r="AQ177" s="17"/>
      <c r="AR177" s="10"/>
      <c r="AS177" s="67"/>
      <c r="AT177" s="10"/>
    </row>
    <row r="178" spans="1:47" s="8" customFormat="1" x14ac:dyDescent="0.25">
      <c r="A178" s="21"/>
      <c r="B178" s="9">
        <f>IF(A178="",0,((U178)*10%))</f>
        <v>0</v>
      </c>
      <c r="C178" s="9"/>
      <c r="D178" s="9">
        <f>IF(C178="",0,((U178)*5%))</f>
        <v>0</v>
      </c>
      <c r="E178" s="10"/>
      <c r="F178" s="129" t="s">
        <v>47</v>
      </c>
      <c r="G178" s="130" t="s">
        <v>46</v>
      </c>
      <c r="H178" s="129" t="s">
        <v>69</v>
      </c>
      <c r="I178" s="9" t="s">
        <v>9</v>
      </c>
      <c r="J178" s="5">
        <f t="shared" ref="J178" si="521">L178</f>
        <v>500</v>
      </c>
      <c r="K178" s="9"/>
      <c r="L178" s="9">
        <v>500</v>
      </c>
      <c r="M178" s="9">
        <f t="shared" ref="M178:M180" si="522">L178</f>
        <v>500</v>
      </c>
      <c r="N178" s="62">
        <f>IF(M178&lt;&gt;"",250,0)</f>
        <v>250</v>
      </c>
      <c r="O178" s="72">
        <f>M178-N178</f>
        <v>250</v>
      </c>
      <c r="P178" s="74">
        <f t="shared" ref="P178:P182" si="523">(M178-N178)*5%</f>
        <v>12.5</v>
      </c>
      <c r="Q178" s="9"/>
      <c r="R178" s="130"/>
      <c r="S178" s="130"/>
      <c r="T178" s="130"/>
      <c r="U178" s="131">
        <f t="shared" ref="U178:U179" si="524">M178-N178-P178-Q178-R178-S178</f>
        <v>237.5</v>
      </c>
      <c r="V178" s="130">
        <f t="shared" ref="V178:V179" si="525">U178-B178-D178</f>
        <v>237.5</v>
      </c>
      <c r="W178" s="132"/>
      <c r="X178" s="133">
        <f t="shared" ref="X178:X179" si="526">100%-Y178-AA178-AC178-AE178-AG178-AI178-AK178-AM178-AO178-AQ178</f>
        <v>1</v>
      </c>
      <c r="Y178" s="17"/>
      <c r="Z178" s="9">
        <f t="shared" ref="Z178:Z182" si="527">(V178*Y178)+Q178+R178</f>
        <v>0</v>
      </c>
      <c r="AA178" s="17"/>
      <c r="AB178" s="5">
        <f t="shared" ref="AB178:AB182" si="528">(V178*AA178)</f>
        <v>0</v>
      </c>
      <c r="AC178" s="67"/>
      <c r="AD178" s="5"/>
      <c r="AE178" s="67"/>
      <c r="AF178" s="4">
        <f t="shared" ref="AF178:AF182" si="529">V178*AE178</f>
        <v>0</v>
      </c>
      <c r="AG178" s="67"/>
      <c r="AH178" s="44">
        <f t="shared" ref="AH178:AH182" si="530">V178*AG178</f>
        <v>0</v>
      </c>
      <c r="AI178" s="17"/>
      <c r="AJ178" s="44">
        <f t="shared" ref="AJ178:AJ182" si="531">V178*AI178</f>
        <v>0</v>
      </c>
      <c r="AK178" s="67"/>
      <c r="AL178" s="44">
        <f t="shared" ref="AL178:AL182" si="532">V178*AK178</f>
        <v>0</v>
      </c>
      <c r="AM178" s="67"/>
      <c r="AN178" s="4">
        <f t="shared" ref="AN178:AN182" si="533">V178*AM178</f>
        <v>0</v>
      </c>
      <c r="AO178" s="67"/>
      <c r="AP178" s="4">
        <f t="shared" ref="AP178:AP182" si="534">V178*AO178</f>
        <v>0</v>
      </c>
      <c r="AQ178" s="17"/>
      <c r="AR178" s="4">
        <f t="shared" ref="AR178:AR182" si="535">V178*AQ178</f>
        <v>0</v>
      </c>
      <c r="AS178" s="67"/>
      <c r="AT178" s="4">
        <f t="shared" ref="AT178:AT182" si="536">X178*AS178</f>
        <v>0</v>
      </c>
      <c r="AU178" s="73">
        <f t="shared" ref="AU178:AU182" si="537">V178*X178</f>
        <v>237.5</v>
      </c>
    </row>
    <row r="179" spans="1:47" s="8" customFormat="1" x14ac:dyDescent="0.25">
      <c r="A179" s="21"/>
      <c r="B179" s="9">
        <f>IF(A179="",0,((U179)*10%))</f>
        <v>0</v>
      </c>
      <c r="C179" s="9"/>
      <c r="D179" s="9">
        <f>IF(C179="",0,((U179)*5%))</f>
        <v>0</v>
      </c>
      <c r="E179" s="10"/>
      <c r="F179" s="129" t="str">
        <f>F178</f>
        <v>LeanMgt</v>
      </c>
      <c r="G179" s="130" t="s">
        <v>46</v>
      </c>
      <c r="H179" s="129" t="s">
        <v>63</v>
      </c>
      <c r="I179" s="9" t="s">
        <v>9</v>
      </c>
      <c r="J179" s="5">
        <f t="shared" ref="J179:J182" si="538">L179*2</f>
        <v>1736</v>
      </c>
      <c r="K179" s="9"/>
      <c r="L179" s="9">
        <v>868</v>
      </c>
      <c r="M179" s="9">
        <f t="shared" si="522"/>
        <v>868</v>
      </c>
      <c r="N179" s="9"/>
      <c r="O179" s="72">
        <f>M179-N179</f>
        <v>868</v>
      </c>
      <c r="P179" s="74">
        <f t="shared" si="523"/>
        <v>43.400000000000006</v>
      </c>
      <c r="Q179" s="9"/>
      <c r="R179" s="130"/>
      <c r="S179" s="130">
        <f t="shared" ref="S179" si="539">(O179-P179-Q179-R179)*7%</f>
        <v>57.722000000000008</v>
      </c>
      <c r="T179" s="130"/>
      <c r="U179" s="131">
        <f t="shared" si="524"/>
        <v>766.87800000000004</v>
      </c>
      <c r="V179" s="130">
        <f t="shared" si="525"/>
        <v>766.87800000000004</v>
      </c>
      <c r="W179" s="132"/>
      <c r="X179" s="133">
        <f t="shared" si="526"/>
        <v>1.0000000000000051E-2</v>
      </c>
      <c r="Y179" s="17">
        <f t="shared" ref="Y179:Y182" si="540">(99%-AA179-AC179-AE179-AG179-AI179-AK179-AM179-AO179-AQ179)</f>
        <v>0.94</v>
      </c>
      <c r="Z179" s="9">
        <f t="shared" si="527"/>
        <v>720.86532</v>
      </c>
      <c r="AA179" s="17">
        <v>0.05</v>
      </c>
      <c r="AB179" s="5">
        <f t="shared" si="528"/>
        <v>38.343900000000005</v>
      </c>
      <c r="AC179" s="67"/>
      <c r="AD179" s="5"/>
      <c r="AE179" s="67"/>
      <c r="AF179" s="4">
        <f t="shared" si="529"/>
        <v>0</v>
      </c>
      <c r="AG179" s="67"/>
      <c r="AH179" s="44">
        <f t="shared" si="530"/>
        <v>0</v>
      </c>
      <c r="AI179" s="17"/>
      <c r="AJ179" s="44">
        <f t="shared" si="531"/>
        <v>0</v>
      </c>
      <c r="AK179" s="67"/>
      <c r="AL179" s="44">
        <f t="shared" si="532"/>
        <v>0</v>
      </c>
      <c r="AM179" s="67"/>
      <c r="AN179" s="4">
        <f t="shared" si="533"/>
        <v>0</v>
      </c>
      <c r="AO179" s="67"/>
      <c r="AP179" s="4">
        <f t="shared" si="534"/>
        <v>0</v>
      </c>
      <c r="AQ179" s="17"/>
      <c r="AR179" s="4">
        <f t="shared" si="535"/>
        <v>0</v>
      </c>
      <c r="AS179" s="67"/>
      <c r="AT179" s="4">
        <f t="shared" si="536"/>
        <v>0</v>
      </c>
      <c r="AU179" s="73">
        <f t="shared" si="537"/>
        <v>7.668780000000039</v>
      </c>
    </row>
    <row r="180" spans="1:47" s="8" customFormat="1" x14ac:dyDescent="0.25">
      <c r="A180" s="21"/>
      <c r="B180" s="9">
        <f>IF(A180="",0,((O180)*20%))</f>
        <v>0</v>
      </c>
      <c r="C180" s="9"/>
      <c r="D180" s="9">
        <f>IF(C180="",0,((U180)*5%))</f>
        <v>0</v>
      </c>
      <c r="E180" s="10"/>
      <c r="F180" s="129" t="str">
        <f>F178</f>
        <v>LeanMgt</v>
      </c>
      <c r="G180" s="130" t="s">
        <v>46</v>
      </c>
      <c r="H180" s="129" t="s">
        <v>64</v>
      </c>
      <c r="I180" s="9" t="s">
        <v>10</v>
      </c>
      <c r="J180" s="9">
        <f t="shared" si="538"/>
        <v>1736</v>
      </c>
      <c r="K180" s="5"/>
      <c r="L180" s="9">
        <f>L179</f>
        <v>868</v>
      </c>
      <c r="M180" s="9">
        <f t="shared" si="522"/>
        <v>868</v>
      </c>
      <c r="N180" s="5"/>
      <c r="O180" s="72">
        <f>M180-N180</f>
        <v>868</v>
      </c>
      <c r="P180" s="74">
        <f t="shared" si="523"/>
        <v>43.400000000000006</v>
      </c>
      <c r="Q180" s="9"/>
      <c r="R180" s="130"/>
      <c r="S180" s="130">
        <f>(O180-P180)*7%</f>
        <v>57.722000000000008</v>
      </c>
      <c r="T180" s="130"/>
      <c r="U180" s="131">
        <f t="shared" ref="U180" si="541">M180-N180-P180-Q180-R180-S180</f>
        <v>766.87800000000004</v>
      </c>
      <c r="V180" s="130">
        <f>U180-B180-D180</f>
        <v>766.87800000000004</v>
      </c>
      <c r="W180" s="132"/>
      <c r="X180" s="133">
        <f t="shared" ref="X180" si="542">100%-Y180-AA180-AC180-AE180-AG180-AI180-AK180-AM180-AO180-AQ180</f>
        <v>1.0000000000000009E-2</v>
      </c>
      <c r="Y180" s="17">
        <f t="shared" si="540"/>
        <v>0.73</v>
      </c>
      <c r="Z180" s="65">
        <f t="shared" si="527"/>
        <v>559.82094000000006</v>
      </c>
      <c r="AA180" s="17">
        <v>0.2</v>
      </c>
      <c r="AB180" s="9">
        <f t="shared" si="528"/>
        <v>153.37560000000002</v>
      </c>
      <c r="AC180" s="17">
        <v>0.06</v>
      </c>
      <c r="AD180" s="9">
        <f t="shared" ref="AD180:AD182" si="543">V180*AC180</f>
        <v>46.012680000000003</v>
      </c>
      <c r="AE180" s="67"/>
      <c r="AF180" s="4">
        <f t="shared" si="529"/>
        <v>0</v>
      </c>
      <c r="AG180" s="67"/>
      <c r="AH180" s="57">
        <f t="shared" si="530"/>
        <v>0</v>
      </c>
      <c r="AI180" s="17"/>
      <c r="AJ180" s="57">
        <f t="shared" si="531"/>
        <v>0</v>
      </c>
      <c r="AK180" s="67"/>
      <c r="AL180" s="57">
        <f t="shared" si="532"/>
        <v>0</v>
      </c>
      <c r="AM180" s="67"/>
      <c r="AN180" s="9">
        <f t="shared" si="533"/>
        <v>0</v>
      </c>
      <c r="AO180" s="67"/>
      <c r="AP180" s="10">
        <f t="shared" si="534"/>
        <v>0</v>
      </c>
      <c r="AQ180" s="17"/>
      <c r="AR180" s="10">
        <f t="shared" si="535"/>
        <v>0</v>
      </c>
      <c r="AS180" s="67"/>
      <c r="AT180" s="10">
        <f t="shared" si="536"/>
        <v>0</v>
      </c>
      <c r="AU180" s="73">
        <f t="shared" si="537"/>
        <v>7.668780000000007</v>
      </c>
    </row>
    <row r="181" spans="1:47" s="8" customFormat="1" x14ac:dyDescent="0.25">
      <c r="A181" s="21"/>
      <c r="B181" s="9">
        <f t="shared" ref="B181:B182" si="544">IF(A181="",0,((O181)*20%))</f>
        <v>0</v>
      </c>
      <c r="C181" s="9"/>
      <c r="D181" s="9">
        <f>IF(C181="",0,((U181)*5%))</f>
        <v>0</v>
      </c>
      <c r="E181" s="10"/>
      <c r="F181" s="129" t="str">
        <f>F178</f>
        <v>LeanMgt</v>
      </c>
      <c r="G181" s="130" t="s">
        <v>46</v>
      </c>
      <c r="H181" s="129" t="s">
        <v>65</v>
      </c>
      <c r="I181" s="9" t="s">
        <v>11</v>
      </c>
      <c r="J181" s="5">
        <f t="shared" si="538"/>
        <v>1736</v>
      </c>
      <c r="K181" s="9"/>
      <c r="L181" s="9">
        <f>L180</f>
        <v>868</v>
      </c>
      <c r="M181" s="9"/>
      <c r="N181" s="9">
        <v>0</v>
      </c>
      <c r="O181" s="72">
        <f>M181-N181</f>
        <v>0</v>
      </c>
      <c r="P181" s="74">
        <f t="shared" si="523"/>
        <v>0</v>
      </c>
      <c r="Q181" s="9"/>
      <c r="R181" s="130"/>
      <c r="S181" s="130">
        <f>(O181-P181)*7%</f>
        <v>0</v>
      </c>
      <c r="T181" s="130"/>
      <c r="U181" s="131">
        <f t="shared" ref="U181:U182" si="545">M181-N181-P181-Q181-R181-S181</f>
        <v>0</v>
      </c>
      <c r="V181" s="130">
        <f t="shared" ref="V181:V182" si="546">U181-B181-D181</f>
        <v>0</v>
      </c>
      <c r="W181" s="132"/>
      <c r="X181" s="133">
        <f t="shared" ref="X181:X182" si="547">100%-Y181-AA181-AC181-AE181-AG181-AI181-AK181-AM181-AO181-AQ181</f>
        <v>1.0000000000000009E-2</v>
      </c>
      <c r="Y181" s="17">
        <f t="shared" si="540"/>
        <v>0.73</v>
      </c>
      <c r="Z181" s="65">
        <f t="shared" si="527"/>
        <v>0</v>
      </c>
      <c r="AA181" s="17">
        <v>0.2</v>
      </c>
      <c r="AB181" s="9">
        <f t="shared" si="528"/>
        <v>0</v>
      </c>
      <c r="AC181" s="17">
        <v>0.06</v>
      </c>
      <c r="AD181" s="9">
        <f t="shared" si="543"/>
        <v>0</v>
      </c>
      <c r="AE181" s="17"/>
      <c r="AF181" s="4">
        <f t="shared" si="529"/>
        <v>0</v>
      </c>
      <c r="AG181" s="17"/>
      <c r="AH181" s="44">
        <f t="shared" si="530"/>
        <v>0</v>
      </c>
      <c r="AI181" s="17"/>
      <c r="AJ181" s="44">
        <f t="shared" si="531"/>
        <v>0</v>
      </c>
      <c r="AK181" s="17"/>
      <c r="AL181" s="44">
        <f t="shared" si="532"/>
        <v>0</v>
      </c>
      <c r="AM181" s="17"/>
      <c r="AN181" s="5">
        <f t="shared" si="533"/>
        <v>0</v>
      </c>
      <c r="AO181" s="17"/>
      <c r="AP181" s="4">
        <f t="shared" si="534"/>
        <v>0</v>
      </c>
      <c r="AQ181" s="17"/>
      <c r="AR181" s="4">
        <f t="shared" si="535"/>
        <v>0</v>
      </c>
      <c r="AS181" s="17"/>
      <c r="AT181" s="4">
        <f t="shared" si="536"/>
        <v>0</v>
      </c>
      <c r="AU181" s="73">
        <f t="shared" si="537"/>
        <v>0</v>
      </c>
    </row>
    <row r="182" spans="1:47" s="8" customFormat="1" x14ac:dyDescent="0.25">
      <c r="A182" s="21"/>
      <c r="B182" s="9">
        <f t="shared" si="544"/>
        <v>0</v>
      </c>
      <c r="C182" s="9"/>
      <c r="D182" s="9">
        <f>IF(C182="",0,((U182)*5%))</f>
        <v>0</v>
      </c>
      <c r="E182" s="10"/>
      <c r="F182" s="129" t="str">
        <f>F178</f>
        <v>LeanMgt</v>
      </c>
      <c r="G182" s="130" t="s">
        <v>46</v>
      </c>
      <c r="H182" s="129" t="s">
        <v>66</v>
      </c>
      <c r="I182" s="9" t="s">
        <v>12</v>
      </c>
      <c r="J182" s="5">
        <f t="shared" si="538"/>
        <v>1736</v>
      </c>
      <c r="K182" s="9"/>
      <c r="L182" s="9">
        <f>L181</f>
        <v>868</v>
      </c>
      <c r="M182" s="9"/>
      <c r="N182" s="9">
        <v>0</v>
      </c>
      <c r="O182" s="72">
        <f>M182-N182</f>
        <v>0</v>
      </c>
      <c r="P182" s="74">
        <f t="shared" si="523"/>
        <v>0</v>
      </c>
      <c r="Q182" s="9"/>
      <c r="R182" s="130"/>
      <c r="S182" s="130">
        <f>(O182-P182)*7%</f>
        <v>0</v>
      </c>
      <c r="T182" s="130"/>
      <c r="U182" s="131">
        <f t="shared" si="545"/>
        <v>0</v>
      </c>
      <c r="V182" s="130">
        <f t="shared" si="546"/>
        <v>0</v>
      </c>
      <c r="W182" s="132"/>
      <c r="X182" s="133">
        <f t="shared" si="547"/>
        <v>1.0000000000000009E-2</v>
      </c>
      <c r="Y182" s="17">
        <f t="shared" si="540"/>
        <v>0.73</v>
      </c>
      <c r="Z182" s="65">
        <f t="shared" si="527"/>
        <v>0</v>
      </c>
      <c r="AA182" s="17">
        <v>0.2</v>
      </c>
      <c r="AB182" s="9">
        <f t="shared" si="528"/>
        <v>0</v>
      </c>
      <c r="AC182" s="17">
        <v>0.06</v>
      </c>
      <c r="AD182" s="9">
        <f t="shared" si="543"/>
        <v>0</v>
      </c>
      <c r="AE182" s="17"/>
      <c r="AF182" s="4">
        <f t="shared" si="529"/>
        <v>0</v>
      </c>
      <c r="AG182" s="17"/>
      <c r="AH182" s="44">
        <f t="shared" si="530"/>
        <v>0</v>
      </c>
      <c r="AI182" s="17"/>
      <c r="AJ182" s="44">
        <f t="shared" si="531"/>
        <v>0</v>
      </c>
      <c r="AK182" s="17"/>
      <c r="AL182" s="44">
        <f t="shared" si="532"/>
        <v>0</v>
      </c>
      <c r="AM182" s="17"/>
      <c r="AN182" s="5">
        <f t="shared" si="533"/>
        <v>0</v>
      </c>
      <c r="AO182" s="17"/>
      <c r="AP182" s="4">
        <f t="shared" si="534"/>
        <v>0</v>
      </c>
      <c r="AQ182" s="17"/>
      <c r="AR182" s="4">
        <f t="shared" si="535"/>
        <v>0</v>
      </c>
      <c r="AS182" s="17"/>
      <c r="AT182" s="4">
        <f t="shared" si="536"/>
        <v>0</v>
      </c>
      <c r="AU182" s="73">
        <f t="shared" si="537"/>
        <v>0</v>
      </c>
    </row>
    <row r="183" spans="1:47" x14ac:dyDescent="0.25">
      <c r="A183" s="21"/>
      <c r="C183" s="9"/>
      <c r="D183" s="10"/>
      <c r="E183" s="10"/>
      <c r="F183" s="8"/>
      <c r="G183" s="8"/>
      <c r="H183" s="8"/>
      <c r="I183" s="9"/>
      <c r="J183" s="9"/>
      <c r="K183" s="9"/>
      <c r="L183" s="9"/>
      <c r="M183" s="9"/>
      <c r="N183" s="9"/>
      <c r="O183" s="9"/>
      <c r="P183" s="9"/>
      <c r="Q183" s="9"/>
      <c r="Z183" s="5"/>
      <c r="AB183" s="5"/>
      <c r="AD183" s="5"/>
      <c r="AH183" s="44"/>
      <c r="AJ183" s="44"/>
      <c r="AL183" s="44"/>
      <c r="AN183" s="5"/>
      <c r="AP183" s="5"/>
      <c r="AR183" s="5"/>
      <c r="AT183" s="5"/>
    </row>
    <row r="184" spans="1:47" s="8" customFormat="1" x14ac:dyDescent="0.25">
      <c r="A184" s="21"/>
      <c r="B184" s="9"/>
      <c r="C184" s="9"/>
      <c r="D184" s="9">
        <f t="shared" ref="D184" si="548">IF(C184="",0,((O184)*5%))</f>
        <v>0</v>
      </c>
      <c r="E184" s="10"/>
      <c r="F184" s="129" t="s">
        <v>72</v>
      </c>
      <c r="G184" s="130" t="s">
        <v>46</v>
      </c>
      <c r="H184" s="129" t="s">
        <v>186</v>
      </c>
      <c r="I184" s="9" t="s">
        <v>10</v>
      </c>
      <c r="J184" s="9">
        <f t="shared" ref="J184" si="549">L184</f>
        <v>500</v>
      </c>
      <c r="K184" s="5"/>
      <c r="L184" s="9">
        <v>500</v>
      </c>
      <c r="M184" s="9"/>
      <c r="N184" s="62">
        <f>IF(M184&lt;&gt;"",250,0)</f>
        <v>0</v>
      </c>
      <c r="O184" s="72">
        <f t="shared" si="442"/>
        <v>0</v>
      </c>
      <c r="P184" s="74">
        <f t="shared" ref="P184:P186" si="550">(M184-N184)*5%</f>
        <v>0</v>
      </c>
      <c r="Q184" s="9"/>
      <c r="R184" s="130"/>
      <c r="S184" s="130"/>
      <c r="T184" s="130"/>
      <c r="U184" s="131">
        <f t="shared" ref="U184:U186" si="551">M184-N184-P184-Q184-R184-S184</f>
        <v>0</v>
      </c>
      <c r="V184" s="130">
        <f>U184-B184-D184</f>
        <v>0</v>
      </c>
      <c r="W184" s="132"/>
      <c r="X184" s="133">
        <f t="shared" ref="X184:X186" si="552">100%-Y184-AA184-AC184-AE184-AG184-AI184-AK184-AM184-AO184-AQ184</f>
        <v>1</v>
      </c>
      <c r="Y184" s="17"/>
      <c r="Z184" s="9">
        <f t="shared" ref="Z184:Z186" si="553">(V184*Y184)+Q184+R184</f>
        <v>0</v>
      </c>
      <c r="AA184" s="17"/>
      <c r="AB184" s="9">
        <f t="shared" ref="AB184:AB186" si="554">(V184*AA184)</f>
        <v>0</v>
      </c>
      <c r="AC184" s="17"/>
      <c r="AD184" s="9">
        <f>V184*AC184</f>
        <v>0</v>
      </c>
      <c r="AE184" s="67"/>
      <c r="AF184" s="4"/>
      <c r="AG184" s="67"/>
      <c r="AH184" s="57"/>
      <c r="AI184" s="17"/>
      <c r="AJ184" s="57"/>
      <c r="AK184" s="67"/>
      <c r="AL184" s="57"/>
      <c r="AM184" s="67"/>
      <c r="AN184" s="9">
        <f t="shared" ref="AN184:AN186" si="555">V184*AM184</f>
        <v>0</v>
      </c>
      <c r="AO184" s="67"/>
      <c r="AP184" s="10">
        <f t="shared" ref="AP184:AP186" si="556">V184*AO184</f>
        <v>0</v>
      </c>
      <c r="AQ184" s="17"/>
      <c r="AR184" s="10">
        <f t="shared" ref="AR184:AR186" si="557">V184*AQ184</f>
        <v>0</v>
      </c>
      <c r="AS184" s="67"/>
      <c r="AT184" s="10">
        <f t="shared" ref="AT184:AT186" si="558">X184*AS184</f>
        <v>0</v>
      </c>
      <c r="AU184" s="73">
        <f t="shared" ref="AU184:AU186" si="559">V184*X184</f>
        <v>0</v>
      </c>
    </row>
    <row r="185" spans="1:47" s="8" customFormat="1" x14ac:dyDescent="0.25">
      <c r="A185" s="21" t="s">
        <v>73</v>
      </c>
      <c r="B185" s="9">
        <f>IF(A185="",0,((O185)*10%))</f>
        <v>0</v>
      </c>
      <c r="C185" s="9"/>
      <c r="D185" s="9">
        <f>IF(C185="",0,((O185)*5%))</f>
        <v>0</v>
      </c>
      <c r="E185" s="10"/>
      <c r="F185" s="129" t="str">
        <f>F184</f>
        <v>Max</v>
      </c>
      <c r="G185" s="130" t="s">
        <v>46</v>
      </c>
      <c r="H185" s="129" t="s">
        <v>65</v>
      </c>
      <c r="I185" s="9" t="s">
        <v>11</v>
      </c>
      <c r="J185" s="5">
        <f t="shared" ref="J185:J186" si="560">L185*2</f>
        <v>776</v>
      </c>
      <c r="K185" s="9"/>
      <c r="L185" s="9">
        <v>388</v>
      </c>
      <c r="M185" s="9"/>
      <c r="N185" s="9">
        <v>0</v>
      </c>
      <c r="O185" s="72">
        <f t="shared" si="442"/>
        <v>0</v>
      </c>
      <c r="P185" s="74">
        <f t="shared" si="550"/>
        <v>0</v>
      </c>
      <c r="Q185" s="9"/>
      <c r="R185" s="130"/>
      <c r="S185" s="130">
        <f t="shared" ref="S185:S186" si="561">(O185-P185)*7%</f>
        <v>0</v>
      </c>
      <c r="T185" s="130"/>
      <c r="U185" s="131">
        <f t="shared" si="551"/>
        <v>0</v>
      </c>
      <c r="V185" s="130">
        <f t="shared" ref="V185:V186" si="562">U185-B185-D185</f>
        <v>0</v>
      </c>
      <c r="W185" s="132"/>
      <c r="X185" s="133">
        <f t="shared" si="552"/>
        <v>1.0000000000000009E-2</v>
      </c>
      <c r="Y185" s="17">
        <f t="shared" ref="Y185:Y186" si="563">(99%-AA185-AC185-AE185-AG185-AI185-AK185-AM185-AO185-AQ185)</f>
        <v>0.73</v>
      </c>
      <c r="Z185" s="65">
        <f t="shared" si="553"/>
        <v>0</v>
      </c>
      <c r="AA185" s="17">
        <v>0.2</v>
      </c>
      <c r="AB185" s="9">
        <f t="shared" si="554"/>
        <v>0</v>
      </c>
      <c r="AC185" s="17">
        <v>0.06</v>
      </c>
      <c r="AD185" s="9">
        <f t="shared" ref="AD185:AD186" si="564">V185*AC185</f>
        <v>0</v>
      </c>
      <c r="AE185" s="17"/>
      <c r="AF185" s="4">
        <f t="shared" ref="AF185:AF186" si="565">V185*AE185</f>
        <v>0</v>
      </c>
      <c r="AG185" s="17"/>
      <c r="AH185" s="44">
        <f t="shared" ref="AH185:AH186" si="566">V185*AG185</f>
        <v>0</v>
      </c>
      <c r="AI185" s="17"/>
      <c r="AJ185" s="44">
        <f t="shared" ref="AJ185:AJ186" si="567">V185*AI185</f>
        <v>0</v>
      </c>
      <c r="AK185" s="17"/>
      <c r="AL185" s="44">
        <f t="shared" ref="AL185:AL186" si="568">V185*AK185</f>
        <v>0</v>
      </c>
      <c r="AM185" s="17"/>
      <c r="AN185" s="5">
        <f t="shared" si="555"/>
        <v>0</v>
      </c>
      <c r="AO185" s="17"/>
      <c r="AP185" s="4">
        <f t="shared" si="556"/>
        <v>0</v>
      </c>
      <c r="AQ185" s="17"/>
      <c r="AR185" s="4">
        <f t="shared" si="557"/>
        <v>0</v>
      </c>
      <c r="AS185" s="17"/>
      <c r="AT185" s="4">
        <f t="shared" si="558"/>
        <v>0</v>
      </c>
      <c r="AU185" s="73">
        <f t="shared" si="559"/>
        <v>0</v>
      </c>
    </row>
    <row r="186" spans="1:47" s="8" customFormat="1" x14ac:dyDescent="0.25">
      <c r="A186" s="21" t="s">
        <v>73</v>
      </c>
      <c r="B186" s="9">
        <f>IF(A186="",0,((O186)*10%))</f>
        <v>0</v>
      </c>
      <c r="C186" s="9"/>
      <c r="D186" s="9">
        <f>IF(C186="",0,((O186)*5%))</f>
        <v>0</v>
      </c>
      <c r="E186" s="10"/>
      <c r="F186" s="129" t="str">
        <f>F184</f>
        <v>Max</v>
      </c>
      <c r="G186" s="130" t="s">
        <v>46</v>
      </c>
      <c r="H186" s="129" t="s">
        <v>66</v>
      </c>
      <c r="I186" s="9" t="s">
        <v>12</v>
      </c>
      <c r="J186" s="5">
        <f t="shared" si="560"/>
        <v>776</v>
      </c>
      <c r="K186" s="9"/>
      <c r="L186" s="9">
        <f>L185</f>
        <v>388</v>
      </c>
      <c r="M186" s="9"/>
      <c r="N186" s="9">
        <v>0</v>
      </c>
      <c r="O186" s="72">
        <f t="shared" si="442"/>
        <v>0</v>
      </c>
      <c r="P186" s="74">
        <f t="shared" si="550"/>
        <v>0</v>
      </c>
      <c r="Q186" s="9"/>
      <c r="R186" s="130"/>
      <c r="S186" s="130">
        <f t="shared" si="561"/>
        <v>0</v>
      </c>
      <c r="T186" s="130"/>
      <c r="U186" s="131">
        <f t="shared" si="551"/>
        <v>0</v>
      </c>
      <c r="V186" s="130">
        <f t="shared" si="562"/>
        <v>0</v>
      </c>
      <c r="W186" s="132"/>
      <c r="X186" s="133">
        <f t="shared" si="552"/>
        <v>1.0000000000000009E-2</v>
      </c>
      <c r="Y186" s="17">
        <f t="shared" si="563"/>
        <v>0.73</v>
      </c>
      <c r="Z186" s="65">
        <f t="shared" si="553"/>
        <v>0</v>
      </c>
      <c r="AA186" s="17">
        <v>0.2</v>
      </c>
      <c r="AB186" s="9">
        <f t="shared" si="554"/>
        <v>0</v>
      </c>
      <c r="AC186" s="17">
        <v>0.06</v>
      </c>
      <c r="AD186" s="9">
        <f t="shared" si="564"/>
        <v>0</v>
      </c>
      <c r="AE186" s="17"/>
      <c r="AF186" s="4">
        <f t="shared" si="565"/>
        <v>0</v>
      </c>
      <c r="AG186" s="17"/>
      <c r="AH186" s="44">
        <f t="shared" si="566"/>
        <v>0</v>
      </c>
      <c r="AI186" s="17"/>
      <c r="AJ186" s="44">
        <f t="shared" si="567"/>
        <v>0</v>
      </c>
      <c r="AK186" s="17"/>
      <c r="AL186" s="44">
        <f t="shared" si="568"/>
        <v>0</v>
      </c>
      <c r="AM186" s="17"/>
      <c r="AN186" s="5">
        <f t="shared" si="555"/>
        <v>0</v>
      </c>
      <c r="AO186" s="17"/>
      <c r="AP186" s="4">
        <f t="shared" si="556"/>
        <v>0</v>
      </c>
      <c r="AQ186" s="17"/>
      <c r="AR186" s="4">
        <f t="shared" si="557"/>
        <v>0</v>
      </c>
      <c r="AS186" s="17"/>
      <c r="AT186" s="4">
        <f t="shared" si="558"/>
        <v>0</v>
      </c>
      <c r="AU186" s="73">
        <f t="shared" si="559"/>
        <v>0</v>
      </c>
    </row>
    <row r="187" spans="1:47" x14ac:dyDescent="0.25">
      <c r="A187" s="21"/>
      <c r="C187" s="9"/>
      <c r="D187" s="10"/>
      <c r="E187" s="10"/>
      <c r="F187" s="8"/>
      <c r="G187" s="8"/>
      <c r="H187" s="8"/>
      <c r="I187" s="9"/>
      <c r="J187" s="9"/>
      <c r="K187" s="9"/>
      <c r="L187" s="9"/>
      <c r="M187" s="9"/>
      <c r="N187" s="9"/>
      <c r="O187" s="9"/>
      <c r="P187" s="9"/>
      <c r="Q187" s="9"/>
      <c r="Z187" s="5"/>
      <c r="AB187" s="5"/>
      <c r="AD187" s="5"/>
      <c r="AH187" s="44"/>
      <c r="AJ187" s="44"/>
      <c r="AL187" s="44"/>
      <c r="AN187" s="5"/>
      <c r="AP187" s="5"/>
      <c r="AR187" s="5"/>
      <c r="AT187" s="5"/>
    </row>
    <row r="188" spans="1:47" s="8" customFormat="1" x14ac:dyDescent="0.25">
      <c r="A188" s="21"/>
      <c r="B188" s="9">
        <f t="shared" ref="B188:B190" si="569">IF(A188="",0,((O188)*20%))</f>
        <v>0</v>
      </c>
      <c r="C188" s="9"/>
      <c r="D188" s="9">
        <f>IF(C188="",0,((U188)*5%))</f>
        <v>0</v>
      </c>
      <c r="E188" s="10"/>
      <c r="F188" s="129" t="s">
        <v>53</v>
      </c>
      <c r="G188" s="130" t="s">
        <v>46</v>
      </c>
      <c r="H188" s="129" t="s">
        <v>186</v>
      </c>
      <c r="I188" s="9" t="s">
        <v>10</v>
      </c>
      <c r="J188" s="9">
        <f t="shared" ref="J188" si="570">L188</f>
        <v>500</v>
      </c>
      <c r="K188" s="5"/>
      <c r="L188" s="9">
        <v>500</v>
      </c>
      <c r="M188" s="9">
        <f t="shared" ref="M188" si="571">L188</f>
        <v>500</v>
      </c>
      <c r="N188" s="62">
        <f>IF(M188&lt;&gt;"",250,0)</f>
        <v>250</v>
      </c>
      <c r="O188" s="72">
        <f t="shared" si="442"/>
        <v>250</v>
      </c>
      <c r="P188" s="74">
        <f t="shared" ref="P188:P190" si="572">(M188-N188)*5%</f>
        <v>12.5</v>
      </c>
      <c r="Q188" s="9"/>
      <c r="R188" s="130"/>
      <c r="S188" s="130"/>
      <c r="T188" s="130"/>
      <c r="U188" s="131">
        <f t="shared" ref="U188:U190" si="573">M188-N188-P188-Q188-R188-S188</f>
        <v>237.5</v>
      </c>
      <c r="V188" s="130">
        <f t="shared" ref="V188:V190" si="574">U188-B188-D188</f>
        <v>237.5</v>
      </c>
      <c r="W188" s="132"/>
      <c r="X188" s="133">
        <f t="shared" ref="X188:X190" si="575">100%-Y188-AA188-AC188-AE188-AG188-AI188-AK188-AM188-AO188-AQ188</f>
        <v>1</v>
      </c>
      <c r="Y188" s="17"/>
      <c r="Z188" s="9"/>
      <c r="AA188" s="17"/>
      <c r="AB188" s="5"/>
      <c r="AC188" s="17"/>
      <c r="AD188" s="9"/>
      <c r="AE188" s="67"/>
      <c r="AF188" s="4"/>
      <c r="AG188" s="67"/>
      <c r="AH188" s="57"/>
      <c r="AI188" s="17"/>
      <c r="AJ188" s="57"/>
      <c r="AK188" s="67"/>
      <c r="AL188" s="57"/>
      <c r="AM188" s="67"/>
      <c r="AN188" s="9">
        <f t="shared" ref="AN188:AN190" si="576">V188*AM188</f>
        <v>0</v>
      </c>
      <c r="AO188" s="67"/>
      <c r="AP188" s="10">
        <f t="shared" ref="AP188:AP190" si="577">V188*AO188</f>
        <v>0</v>
      </c>
      <c r="AQ188" s="17"/>
      <c r="AR188" s="10">
        <f t="shared" ref="AR188:AR190" si="578">V188*AQ188</f>
        <v>0</v>
      </c>
      <c r="AS188" s="67"/>
      <c r="AT188" s="10">
        <f t="shared" ref="AT188:AT190" si="579">X188*AS188</f>
        <v>0</v>
      </c>
      <c r="AU188" s="73">
        <f t="shared" ref="AU188:AU190" si="580">V188*X188</f>
        <v>237.5</v>
      </c>
    </row>
    <row r="189" spans="1:47" s="8" customFormat="1" x14ac:dyDescent="0.25">
      <c r="A189" s="21"/>
      <c r="B189" s="9">
        <f t="shared" si="569"/>
        <v>0</v>
      </c>
      <c r="C189" s="9"/>
      <c r="D189" s="9">
        <f t="shared" ref="D189:D190" si="581">IF(C189="",0,((O189)*5%))</f>
        <v>0</v>
      </c>
      <c r="E189" s="10"/>
      <c r="F189" s="129" t="str">
        <f>F188</f>
        <v>Olivier</v>
      </c>
      <c r="G189" s="130" t="s">
        <v>46</v>
      </c>
      <c r="H189" s="129" t="s">
        <v>65</v>
      </c>
      <c r="I189" s="9" t="s">
        <v>11</v>
      </c>
      <c r="J189" s="5">
        <f t="shared" ref="J189:J190" si="582">L189*2</f>
        <v>1410</v>
      </c>
      <c r="K189" s="9"/>
      <c r="L189" s="9">
        <v>705</v>
      </c>
      <c r="M189" s="9"/>
      <c r="N189" s="9">
        <v>0</v>
      </c>
      <c r="O189" s="72">
        <f t="shared" si="442"/>
        <v>0</v>
      </c>
      <c r="P189" s="74">
        <f t="shared" si="572"/>
        <v>0</v>
      </c>
      <c r="Q189" s="9"/>
      <c r="R189" s="130"/>
      <c r="S189" s="130">
        <f t="shared" ref="S189:S190" si="583">(O189-P189)*7%</f>
        <v>0</v>
      </c>
      <c r="T189" s="130"/>
      <c r="U189" s="131">
        <f t="shared" si="573"/>
        <v>0</v>
      </c>
      <c r="V189" s="130">
        <f t="shared" si="574"/>
        <v>0</v>
      </c>
      <c r="W189" s="132"/>
      <c r="X189" s="133">
        <f t="shared" si="575"/>
        <v>1.0000000000000009E-2</v>
      </c>
      <c r="Y189" s="17">
        <f t="shared" ref="Y189:Y190" si="584">(99%-AA189-AC189-AE189-AG189-AI189-AK189-AM189-AO189-AQ189)</f>
        <v>0.73</v>
      </c>
      <c r="Z189" s="65">
        <f t="shared" ref="Z189:Z190" si="585">(V189*Y189)+Q189+R189</f>
        <v>0</v>
      </c>
      <c r="AA189" s="17">
        <v>0.2</v>
      </c>
      <c r="AB189" s="9">
        <f t="shared" ref="AB189:AB190" si="586">(V189*AA189)</f>
        <v>0</v>
      </c>
      <c r="AC189" s="17">
        <v>0.06</v>
      </c>
      <c r="AD189" s="9">
        <f t="shared" ref="AD189:AD190" si="587">V189*AC189</f>
        <v>0</v>
      </c>
      <c r="AE189" s="17"/>
      <c r="AF189" s="4">
        <f t="shared" ref="AF189:AF190" si="588">V189*AE189</f>
        <v>0</v>
      </c>
      <c r="AG189" s="17"/>
      <c r="AH189" s="44">
        <f t="shared" ref="AH189:AH190" si="589">V189*AG189</f>
        <v>0</v>
      </c>
      <c r="AI189" s="17"/>
      <c r="AJ189" s="44">
        <f t="shared" ref="AJ189:AJ190" si="590">V189*AI189</f>
        <v>0</v>
      </c>
      <c r="AK189" s="17"/>
      <c r="AL189" s="44">
        <f t="shared" ref="AL189:AL190" si="591">V189*AK189</f>
        <v>0</v>
      </c>
      <c r="AM189" s="17"/>
      <c r="AN189" s="5">
        <f t="shared" si="576"/>
        <v>0</v>
      </c>
      <c r="AO189" s="17"/>
      <c r="AP189" s="4">
        <f t="shared" si="577"/>
        <v>0</v>
      </c>
      <c r="AQ189" s="17"/>
      <c r="AR189" s="4">
        <f t="shared" si="578"/>
        <v>0</v>
      </c>
      <c r="AS189" s="17"/>
      <c r="AT189" s="4">
        <f t="shared" si="579"/>
        <v>0</v>
      </c>
      <c r="AU189" s="73">
        <f t="shared" si="580"/>
        <v>0</v>
      </c>
    </row>
    <row r="190" spans="1:47" s="8" customFormat="1" x14ac:dyDescent="0.25">
      <c r="A190" s="21"/>
      <c r="B190" s="9">
        <f t="shared" si="569"/>
        <v>0</v>
      </c>
      <c r="C190" s="9"/>
      <c r="D190" s="9">
        <f t="shared" si="581"/>
        <v>0</v>
      </c>
      <c r="E190" s="10"/>
      <c r="F190" s="129" t="str">
        <f>F188</f>
        <v>Olivier</v>
      </c>
      <c r="G190" s="130" t="s">
        <v>46</v>
      </c>
      <c r="H190" s="129" t="s">
        <v>66</v>
      </c>
      <c r="I190" s="9" t="s">
        <v>12</v>
      </c>
      <c r="J190" s="5">
        <f t="shared" si="582"/>
        <v>1410</v>
      </c>
      <c r="K190" s="9"/>
      <c r="L190" s="9">
        <f>L189</f>
        <v>705</v>
      </c>
      <c r="M190" s="9"/>
      <c r="N190" s="9">
        <v>0</v>
      </c>
      <c r="O190" s="72">
        <f t="shared" si="442"/>
        <v>0</v>
      </c>
      <c r="P190" s="74">
        <f t="shared" si="572"/>
        <v>0</v>
      </c>
      <c r="Q190" s="9"/>
      <c r="R190" s="130"/>
      <c r="S190" s="130">
        <f t="shared" si="583"/>
        <v>0</v>
      </c>
      <c r="T190" s="130"/>
      <c r="U190" s="131">
        <f t="shared" si="573"/>
        <v>0</v>
      </c>
      <c r="V190" s="130">
        <f t="shared" si="574"/>
        <v>0</v>
      </c>
      <c r="W190" s="132"/>
      <c r="X190" s="133">
        <f t="shared" si="575"/>
        <v>1.0000000000000009E-2</v>
      </c>
      <c r="Y190" s="17">
        <f t="shared" si="584"/>
        <v>0.73</v>
      </c>
      <c r="Z190" s="65">
        <f t="shared" si="585"/>
        <v>0</v>
      </c>
      <c r="AA190" s="17">
        <v>0.2</v>
      </c>
      <c r="AB190" s="9">
        <f t="shared" si="586"/>
        <v>0</v>
      </c>
      <c r="AC190" s="17">
        <v>0.06</v>
      </c>
      <c r="AD190" s="9">
        <f t="shared" si="587"/>
        <v>0</v>
      </c>
      <c r="AE190" s="17"/>
      <c r="AF190" s="4">
        <f t="shared" si="588"/>
        <v>0</v>
      </c>
      <c r="AG190" s="17"/>
      <c r="AH190" s="44">
        <f t="shared" si="589"/>
        <v>0</v>
      </c>
      <c r="AI190" s="17"/>
      <c r="AJ190" s="44">
        <f t="shared" si="590"/>
        <v>0</v>
      </c>
      <c r="AK190" s="17"/>
      <c r="AL190" s="44">
        <f t="shared" si="591"/>
        <v>0</v>
      </c>
      <c r="AM190" s="17"/>
      <c r="AN190" s="5">
        <f t="shared" si="576"/>
        <v>0</v>
      </c>
      <c r="AO190" s="17"/>
      <c r="AP190" s="4">
        <f t="shared" si="577"/>
        <v>0</v>
      </c>
      <c r="AQ190" s="17"/>
      <c r="AR190" s="4">
        <f t="shared" si="578"/>
        <v>0</v>
      </c>
      <c r="AS190" s="17"/>
      <c r="AT190" s="4">
        <f t="shared" si="579"/>
        <v>0</v>
      </c>
      <c r="AU190" s="73">
        <f t="shared" si="580"/>
        <v>0</v>
      </c>
    </row>
    <row r="191" spans="1:47" x14ac:dyDescent="0.25">
      <c r="A191" s="21"/>
      <c r="C191" s="9"/>
      <c r="D191" s="10"/>
      <c r="E191" s="10"/>
      <c r="F191" s="8"/>
      <c r="G191" s="8"/>
      <c r="H191" s="8"/>
      <c r="I191" s="9"/>
      <c r="J191" s="9"/>
      <c r="K191" s="9"/>
      <c r="L191" s="9"/>
      <c r="M191" s="9"/>
      <c r="N191" s="9"/>
      <c r="O191" s="9"/>
      <c r="P191" s="9"/>
      <c r="Q191" s="9"/>
      <c r="Z191" s="5"/>
      <c r="AB191" s="5"/>
      <c r="AD191" s="5"/>
      <c r="AH191" s="44"/>
      <c r="AJ191" s="44"/>
      <c r="AL191" s="44"/>
      <c r="AN191" s="5"/>
      <c r="AP191" s="5"/>
      <c r="AR191" s="5"/>
      <c r="AT191" s="5"/>
    </row>
    <row r="192" spans="1:47" s="8" customFormat="1" x14ac:dyDescent="0.25">
      <c r="A192" s="21" t="s">
        <v>52</v>
      </c>
      <c r="B192" s="9">
        <f t="shared" ref="B192:B194" si="592">IF(A192="",0,((O192)*10%))</f>
        <v>0</v>
      </c>
      <c r="C192" s="9"/>
      <c r="D192" s="9">
        <f>IF(C192="",0,((U192)*5%))</f>
        <v>0</v>
      </c>
      <c r="E192" s="10"/>
      <c r="F192" s="129" t="s">
        <v>99</v>
      </c>
      <c r="G192" s="130" t="s">
        <v>46</v>
      </c>
      <c r="H192" s="129" t="s">
        <v>186</v>
      </c>
      <c r="I192" s="9" t="s">
        <v>10</v>
      </c>
      <c r="J192" s="9">
        <f t="shared" ref="J192" si="593">L192</f>
        <v>250</v>
      </c>
      <c r="K192" s="5"/>
      <c r="L192" s="9">
        <v>250</v>
      </c>
      <c r="M192" s="9">
        <f>L192</f>
        <v>250</v>
      </c>
      <c r="N192" s="62">
        <f>IF(M192&lt;&gt;"",250,0)</f>
        <v>250</v>
      </c>
      <c r="O192" s="72">
        <f t="shared" si="442"/>
        <v>0</v>
      </c>
      <c r="P192" s="74">
        <f t="shared" ref="P192:P194" si="594">(M192-N192)*5%</f>
        <v>0</v>
      </c>
      <c r="Q192" s="9"/>
      <c r="R192" s="130"/>
      <c r="S192" s="130"/>
      <c r="T192" s="130"/>
      <c r="U192" s="131">
        <f t="shared" ref="U192" si="595">M192-N192-P192-Q192-R192-S192</f>
        <v>0</v>
      </c>
      <c r="V192" s="130">
        <f t="shared" ref="V192" si="596">U192-B192-D192</f>
        <v>0</v>
      </c>
      <c r="W192" s="132"/>
      <c r="X192" s="133">
        <f t="shared" ref="X192" si="597">100%-Y192-AA192-AC192-AE192-AG192-AI192-AK192-AM192-AO192-AQ192</f>
        <v>1</v>
      </c>
      <c r="Y192" s="17"/>
      <c r="Z192" s="9">
        <f t="shared" ref="Z192:Z194" si="598">(V192*Y192)+Q192+R192</f>
        <v>0</v>
      </c>
      <c r="AA192" s="17"/>
      <c r="AB192" s="9">
        <f t="shared" ref="AB192:AB194" si="599">(V192*AA192)</f>
        <v>0</v>
      </c>
      <c r="AC192" s="67"/>
      <c r="AD192" s="9"/>
      <c r="AE192" s="67"/>
      <c r="AF192" s="4"/>
      <c r="AG192" s="67"/>
      <c r="AH192" s="57"/>
      <c r="AI192" s="17"/>
      <c r="AJ192" s="57"/>
      <c r="AK192" s="67"/>
      <c r="AL192" s="57"/>
      <c r="AM192" s="67"/>
      <c r="AN192" s="9">
        <f t="shared" ref="AN192:AN194" si="600">V192*AM192</f>
        <v>0</v>
      </c>
      <c r="AO192" s="67"/>
      <c r="AP192" s="10">
        <f t="shared" ref="AP192:AP194" si="601">V192*AO192</f>
        <v>0</v>
      </c>
      <c r="AQ192" s="17"/>
      <c r="AR192" s="10">
        <f t="shared" ref="AR192:AR194" si="602">V192*AQ192</f>
        <v>0</v>
      </c>
      <c r="AS192" s="67"/>
      <c r="AT192" s="10">
        <f t="shared" ref="AT192:AT194" si="603">X192*AS192</f>
        <v>0</v>
      </c>
      <c r="AU192" s="73">
        <f t="shared" ref="AU192:AU194" si="604">V192*X192</f>
        <v>0</v>
      </c>
    </row>
    <row r="193" spans="1:47" s="8" customFormat="1" x14ac:dyDescent="0.25">
      <c r="A193" s="21" t="s">
        <v>52</v>
      </c>
      <c r="B193" s="9">
        <f t="shared" si="592"/>
        <v>0</v>
      </c>
      <c r="C193" s="9"/>
      <c r="D193" s="9">
        <f t="shared" ref="D193:D194" si="605">IF(C193="",0,((O193)*5%))</f>
        <v>0</v>
      </c>
      <c r="E193" s="10"/>
      <c r="F193" s="129" t="str">
        <f>F192</f>
        <v>Gregoire</v>
      </c>
      <c r="G193" s="130" t="s">
        <v>46</v>
      </c>
      <c r="H193" s="129" t="s">
        <v>65</v>
      </c>
      <c r="I193" s="9" t="s">
        <v>3</v>
      </c>
      <c r="J193" s="5">
        <f t="shared" ref="J193:J194" si="606">L193*2</f>
        <v>700</v>
      </c>
      <c r="K193" s="9"/>
      <c r="L193" s="9">
        <v>350</v>
      </c>
      <c r="M193" s="9"/>
      <c r="N193" s="9">
        <v>0</v>
      </c>
      <c r="O193" s="72">
        <f t="shared" si="442"/>
        <v>0</v>
      </c>
      <c r="P193" s="74">
        <f t="shared" si="594"/>
        <v>0</v>
      </c>
      <c r="Q193" s="9"/>
      <c r="R193" s="130"/>
      <c r="S193" s="130">
        <f t="shared" ref="S193:S194" si="607">(O193-P193-Q193-R193)*7%</f>
        <v>0</v>
      </c>
      <c r="T193" s="130"/>
      <c r="U193" s="131">
        <f t="shared" ref="U193:U194" si="608">M193-N193-P193-Q193-R193-S193</f>
        <v>0</v>
      </c>
      <c r="V193" s="130">
        <f t="shared" ref="V193:V194" si="609">U193-B193-D193</f>
        <v>0</v>
      </c>
      <c r="W193" s="132"/>
      <c r="X193" s="133">
        <f t="shared" ref="X193:X198" si="610">100%-Y193-AA193-AC193-AE193-AG193-AI193-AK193-AM193-AO193-AQ193</f>
        <v>1.0000000000000009E-2</v>
      </c>
      <c r="Y193" s="17">
        <f t="shared" ref="Y193:Y194" si="611">(99%-AA193-AC193-AE193-AG193-AI193-AK193-AM193-AO193-AQ193)</f>
        <v>0.73</v>
      </c>
      <c r="Z193" s="65">
        <f t="shared" si="598"/>
        <v>0</v>
      </c>
      <c r="AA193" s="17">
        <v>0.2</v>
      </c>
      <c r="AB193" s="9">
        <f t="shared" si="599"/>
        <v>0</v>
      </c>
      <c r="AC193" s="17">
        <v>0.06</v>
      </c>
      <c r="AD193" s="9">
        <f t="shared" ref="AD193:AD194" si="612">V193*AC193</f>
        <v>0</v>
      </c>
      <c r="AE193" s="17"/>
      <c r="AF193" s="4">
        <f t="shared" ref="AF193:AF194" si="613">V193*AE193</f>
        <v>0</v>
      </c>
      <c r="AG193" s="17"/>
      <c r="AH193" s="44">
        <f t="shared" ref="AH193:AH194" si="614">V193*AG193</f>
        <v>0</v>
      </c>
      <c r="AI193" s="17"/>
      <c r="AJ193" s="44">
        <f t="shared" ref="AJ193:AJ194" si="615">V193*AI193</f>
        <v>0</v>
      </c>
      <c r="AK193" s="17"/>
      <c r="AL193" s="44">
        <f t="shared" ref="AL193:AL194" si="616">V193*AK193</f>
        <v>0</v>
      </c>
      <c r="AM193" s="17"/>
      <c r="AN193" s="5">
        <f t="shared" si="600"/>
        <v>0</v>
      </c>
      <c r="AO193" s="17"/>
      <c r="AP193" s="4">
        <f t="shared" si="601"/>
        <v>0</v>
      </c>
      <c r="AQ193" s="17"/>
      <c r="AR193" s="4">
        <f t="shared" si="602"/>
        <v>0</v>
      </c>
      <c r="AS193" s="17"/>
      <c r="AT193" s="4">
        <f t="shared" si="603"/>
        <v>0</v>
      </c>
      <c r="AU193" s="73">
        <f t="shared" si="604"/>
        <v>0</v>
      </c>
    </row>
    <row r="194" spans="1:47" s="8" customFormat="1" x14ac:dyDescent="0.25">
      <c r="A194" s="21" t="s">
        <v>52</v>
      </c>
      <c r="B194" s="9">
        <f t="shared" si="592"/>
        <v>0</v>
      </c>
      <c r="C194" s="9"/>
      <c r="D194" s="9">
        <f t="shared" si="605"/>
        <v>0</v>
      </c>
      <c r="E194" s="10"/>
      <c r="F194" s="129" t="str">
        <f>F192</f>
        <v>Gregoire</v>
      </c>
      <c r="G194" s="130" t="s">
        <v>46</v>
      </c>
      <c r="H194" s="129" t="s">
        <v>66</v>
      </c>
      <c r="I194" s="9" t="s">
        <v>4</v>
      </c>
      <c r="J194" s="5">
        <f t="shared" si="606"/>
        <v>700</v>
      </c>
      <c r="K194" s="9"/>
      <c r="L194" s="9">
        <f>L193</f>
        <v>350</v>
      </c>
      <c r="M194" s="9"/>
      <c r="N194" s="9">
        <v>0</v>
      </c>
      <c r="O194" s="72">
        <f t="shared" si="442"/>
        <v>0</v>
      </c>
      <c r="P194" s="74">
        <f t="shared" si="594"/>
        <v>0</v>
      </c>
      <c r="Q194" s="9"/>
      <c r="R194" s="130"/>
      <c r="S194" s="130">
        <f t="shared" si="607"/>
        <v>0</v>
      </c>
      <c r="T194" s="130"/>
      <c r="U194" s="131">
        <f t="shared" si="608"/>
        <v>0</v>
      </c>
      <c r="V194" s="130">
        <f t="shared" si="609"/>
        <v>0</v>
      </c>
      <c r="W194" s="132"/>
      <c r="X194" s="133">
        <f t="shared" si="610"/>
        <v>1.0000000000000009E-2</v>
      </c>
      <c r="Y194" s="17">
        <f t="shared" si="611"/>
        <v>0.73</v>
      </c>
      <c r="Z194" s="65">
        <f t="shared" si="598"/>
        <v>0</v>
      </c>
      <c r="AA194" s="17">
        <v>0.2</v>
      </c>
      <c r="AB194" s="9">
        <f t="shared" si="599"/>
        <v>0</v>
      </c>
      <c r="AC194" s="17">
        <v>0.06</v>
      </c>
      <c r="AD194" s="9">
        <f t="shared" si="612"/>
        <v>0</v>
      </c>
      <c r="AE194" s="17"/>
      <c r="AF194" s="4">
        <f t="shared" si="613"/>
        <v>0</v>
      </c>
      <c r="AG194" s="17"/>
      <c r="AH194" s="44">
        <f t="shared" si="614"/>
        <v>0</v>
      </c>
      <c r="AI194" s="17"/>
      <c r="AJ194" s="44">
        <f t="shared" si="615"/>
        <v>0</v>
      </c>
      <c r="AK194" s="17"/>
      <c r="AL194" s="44">
        <f t="shared" si="616"/>
        <v>0</v>
      </c>
      <c r="AM194" s="17"/>
      <c r="AN194" s="5">
        <f t="shared" si="600"/>
        <v>0</v>
      </c>
      <c r="AO194" s="17"/>
      <c r="AP194" s="4">
        <f t="shared" si="601"/>
        <v>0</v>
      </c>
      <c r="AQ194" s="17"/>
      <c r="AR194" s="4">
        <f t="shared" si="602"/>
        <v>0</v>
      </c>
      <c r="AS194" s="17"/>
      <c r="AT194" s="4">
        <f t="shared" si="603"/>
        <v>0</v>
      </c>
      <c r="AU194" s="73">
        <f t="shared" si="604"/>
        <v>0</v>
      </c>
    </row>
    <row r="195" spans="1:47" x14ac:dyDescent="0.25">
      <c r="A195" s="21"/>
      <c r="C195" s="9"/>
      <c r="D195" s="10"/>
      <c r="E195" s="10"/>
      <c r="F195" s="8"/>
      <c r="G195" s="8"/>
      <c r="H195" s="8"/>
      <c r="I195" s="9"/>
      <c r="J195" s="9"/>
      <c r="K195" s="9"/>
      <c r="L195" s="9"/>
      <c r="M195" s="9"/>
      <c r="N195" s="9"/>
      <c r="O195" s="9"/>
      <c r="P195" s="9"/>
      <c r="Q195" s="9"/>
      <c r="Z195" s="5"/>
      <c r="AB195" s="5"/>
      <c r="AD195" s="5"/>
      <c r="AH195" s="44"/>
      <c r="AJ195" s="44"/>
      <c r="AL195" s="44"/>
      <c r="AN195" s="5"/>
      <c r="AP195" s="5"/>
      <c r="AR195" s="5"/>
      <c r="AT195" s="5"/>
    </row>
    <row r="196" spans="1:47" s="8" customFormat="1" x14ac:dyDescent="0.25">
      <c r="A196" s="21" t="s">
        <v>73</v>
      </c>
      <c r="B196" s="9"/>
      <c r="C196" s="9"/>
      <c r="D196" s="9">
        <f>IF(C196="",0,((U196)*5%))</f>
        <v>0</v>
      </c>
      <c r="E196" s="10"/>
      <c r="F196" s="129" t="s">
        <v>185</v>
      </c>
      <c r="G196" s="130" t="s">
        <v>46</v>
      </c>
      <c r="H196" s="129" t="s">
        <v>186</v>
      </c>
      <c r="I196" s="9" t="s">
        <v>10</v>
      </c>
      <c r="J196" s="9">
        <f t="shared" ref="J196" si="617">L196</f>
        <v>500</v>
      </c>
      <c r="K196" s="5"/>
      <c r="L196" s="9">
        <v>500</v>
      </c>
      <c r="M196" s="9"/>
      <c r="N196" s="62">
        <f>IF(M196&lt;&gt;"",250,0)</f>
        <v>0</v>
      </c>
      <c r="O196" s="72">
        <f t="shared" si="442"/>
        <v>0</v>
      </c>
      <c r="P196" s="74">
        <f t="shared" ref="P196:P198" si="618">(M196-N196)*5%</f>
        <v>0</v>
      </c>
      <c r="Q196" s="9"/>
      <c r="R196" s="130"/>
      <c r="S196" s="130"/>
      <c r="T196" s="130"/>
      <c r="U196" s="131">
        <f t="shared" ref="U196" si="619">M196-N196-P196-Q196-R196-S196</f>
        <v>0</v>
      </c>
      <c r="V196" s="130">
        <f t="shared" ref="V196" si="620">U196-B196-D196</f>
        <v>0</v>
      </c>
      <c r="W196" s="132"/>
      <c r="X196" s="133">
        <f t="shared" ref="X196" si="621">100%-Y196-AA196-AC196-AE196-AG196-AI196-AK196-AM196-AO196-AQ196</f>
        <v>1</v>
      </c>
      <c r="Y196" s="17"/>
      <c r="Z196" s="9">
        <f t="shared" ref="Z196:Z198" si="622">(V196*Y196)+Q196+R196</f>
        <v>0</v>
      </c>
      <c r="AA196" s="17"/>
      <c r="AB196" s="9">
        <f t="shared" ref="AB196:AB198" si="623">(V196*AA196)</f>
        <v>0</v>
      </c>
      <c r="AC196" s="17"/>
      <c r="AD196" s="9">
        <f>V196*AC196</f>
        <v>0</v>
      </c>
      <c r="AE196" s="67"/>
      <c r="AF196" s="4"/>
      <c r="AG196" s="67"/>
      <c r="AH196" s="57"/>
      <c r="AI196" s="17"/>
      <c r="AJ196" s="57"/>
      <c r="AK196" s="67"/>
      <c r="AL196" s="57">
        <f t="shared" ref="AL196:AL198" si="624">V196*AK196</f>
        <v>0</v>
      </c>
      <c r="AM196" s="67"/>
      <c r="AN196" s="9">
        <f t="shared" ref="AN196:AN198" si="625">V196*AM196</f>
        <v>0</v>
      </c>
      <c r="AO196" s="67"/>
      <c r="AP196" s="10">
        <f t="shared" ref="AP196:AP198" si="626">V196*AO196</f>
        <v>0</v>
      </c>
      <c r="AQ196" s="17"/>
      <c r="AR196" s="10">
        <f t="shared" ref="AR196:AR198" si="627">V196*AQ196</f>
        <v>0</v>
      </c>
      <c r="AS196" s="67"/>
      <c r="AT196" s="10">
        <f t="shared" ref="AT196:AT198" si="628">X196*AS196</f>
        <v>0</v>
      </c>
      <c r="AU196" s="73">
        <f t="shared" ref="AU196:AU198" si="629">V196*X196</f>
        <v>0</v>
      </c>
    </row>
    <row r="197" spans="1:47" s="8" customFormat="1" x14ac:dyDescent="0.25">
      <c r="A197" s="21" t="s">
        <v>73</v>
      </c>
      <c r="B197" s="9">
        <f t="shared" ref="B197:B198" si="630">IF(A197="",0,((O197)*10%))</f>
        <v>0</v>
      </c>
      <c r="C197" s="9"/>
      <c r="D197" s="9">
        <f t="shared" ref="D197" si="631">IF(C197="",0,((O197)*5%))</f>
        <v>0</v>
      </c>
      <c r="E197" s="10"/>
      <c r="F197" s="129" t="s">
        <v>185</v>
      </c>
      <c r="G197" s="130" t="s">
        <v>46</v>
      </c>
      <c r="H197" s="129" t="s">
        <v>65</v>
      </c>
      <c r="I197" s="9" t="s">
        <v>11</v>
      </c>
      <c r="J197" s="5">
        <f t="shared" ref="J197" si="632">L197*2</f>
        <v>4792</v>
      </c>
      <c r="K197" s="9"/>
      <c r="L197" s="9">
        <v>2396</v>
      </c>
      <c r="M197" s="9"/>
      <c r="N197" s="9">
        <v>0</v>
      </c>
      <c r="O197" s="72">
        <f t="shared" si="442"/>
        <v>0</v>
      </c>
      <c r="P197" s="74">
        <f t="shared" si="618"/>
        <v>0</v>
      </c>
      <c r="Q197" s="9"/>
      <c r="R197" s="130"/>
      <c r="S197" s="130">
        <f t="shared" ref="S197:S198" si="633">(O197-P197)*7%</f>
        <v>0</v>
      </c>
      <c r="T197" s="130"/>
      <c r="U197" s="131">
        <f t="shared" ref="U197:U198" si="634">M197-N197-P197-Q197-R197-S197</f>
        <v>0</v>
      </c>
      <c r="V197" s="130">
        <f t="shared" ref="V197:V198" si="635">U197-B197-D197</f>
        <v>0</v>
      </c>
      <c r="W197" s="132"/>
      <c r="X197" s="133">
        <f t="shared" si="610"/>
        <v>1.0000000000000009E-2</v>
      </c>
      <c r="Y197" s="17">
        <f t="shared" ref="Y197:Y198" si="636">(99%-AA197-AC197-AE197-AG197-AI197-AK197-AM197-AO197-AQ197)</f>
        <v>0.73</v>
      </c>
      <c r="Z197" s="65">
        <f t="shared" si="622"/>
        <v>0</v>
      </c>
      <c r="AA197" s="17">
        <v>0.2</v>
      </c>
      <c r="AB197" s="9">
        <f t="shared" si="623"/>
        <v>0</v>
      </c>
      <c r="AC197" s="17">
        <v>0.06</v>
      </c>
      <c r="AD197" s="9">
        <f t="shared" ref="AD197:AD198" si="637">V197*AC197</f>
        <v>0</v>
      </c>
      <c r="AE197" s="17"/>
      <c r="AF197" s="4">
        <f t="shared" ref="AF197:AF198" si="638">V197*AE197</f>
        <v>0</v>
      </c>
      <c r="AG197" s="17"/>
      <c r="AH197" s="44">
        <f t="shared" ref="AH197:AH198" si="639">V197*AG197</f>
        <v>0</v>
      </c>
      <c r="AI197" s="17"/>
      <c r="AJ197" s="44">
        <f t="shared" ref="AJ197:AJ198" si="640">V197*AI197</f>
        <v>0</v>
      </c>
      <c r="AK197" s="17"/>
      <c r="AL197" s="44">
        <f t="shared" si="624"/>
        <v>0</v>
      </c>
      <c r="AM197" s="17"/>
      <c r="AN197" s="5">
        <f t="shared" si="625"/>
        <v>0</v>
      </c>
      <c r="AO197" s="17"/>
      <c r="AP197" s="4">
        <f t="shared" si="626"/>
        <v>0</v>
      </c>
      <c r="AQ197" s="17"/>
      <c r="AR197" s="4">
        <f t="shared" si="627"/>
        <v>0</v>
      </c>
      <c r="AS197" s="17"/>
      <c r="AT197" s="4">
        <f t="shared" si="628"/>
        <v>0</v>
      </c>
      <c r="AU197" s="73">
        <f t="shared" si="629"/>
        <v>0</v>
      </c>
    </row>
    <row r="198" spans="1:47" s="8" customFormat="1" x14ac:dyDescent="0.25">
      <c r="A198" s="21" t="s">
        <v>73</v>
      </c>
      <c r="B198" s="9">
        <f t="shared" si="630"/>
        <v>0</v>
      </c>
      <c r="C198" s="9"/>
      <c r="D198" s="9">
        <f t="shared" ref="D198" si="641">IF(C198="",0,((O198)*5%))</f>
        <v>0</v>
      </c>
      <c r="E198" s="10"/>
      <c r="F198" s="129" t="s">
        <v>185</v>
      </c>
      <c r="G198" s="130" t="s">
        <v>46</v>
      </c>
      <c r="H198" s="129" t="s">
        <v>66</v>
      </c>
      <c r="I198" s="9" t="s">
        <v>12</v>
      </c>
      <c r="J198" s="5">
        <f t="shared" ref="J198" si="642">L198*2</f>
        <v>4792</v>
      </c>
      <c r="K198" s="9"/>
      <c r="L198" s="9">
        <v>2396</v>
      </c>
      <c r="M198" s="9"/>
      <c r="N198" s="9">
        <v>0</v>
      </c>
      <c r="O198" s="72">
        <f t="shared" si="442"/>
        <v>0</v>
      </c>
      <c r="P198" s="74">
        <f t="shared" si="618"/>
        <v>0</v>
      </c>
      <c r="Q198" s="9"/>
      <c r="R198" s="130"/>
      <c r="S198" s="130">
        <f t="shared" si="633"/>
        <v>0</v>
      </c>
      <c r="T198" s="130"/>
      <c r="U198" s="131">
        <f t="shared" si="634"/>
        <v>0</v>
      </c>
      <c r="V198" s="130">
        <f t="shared" si="635"/>
        <v>0</v>
      </c>
      <c r="W198" s="132"/>
      <c r="X198" s="133">
        <f t="shared" si="610"/>
        <v>1.0000000000000009E-2</v>
      </c>
      <c r="Y198" s="17">
        <f t="shared" si="636"/>
        <v>0.73</v>
      </c>
      <c r="Z198" s="65">
        <f t="shared" si="622"/>
        <v>0</v>
      </c>
      <c r="AA198" s="17">
        <v>0.2</v>
      </c>
      <c r="AB198" s="9">
        <f t="shared" si="623"/>
        <v>0</v>
      </c>
      <c r="AC198" s="17">
        <v>0.06</v>
      </c>
      <c r="AD198" s="9">
        <f t="shared" si="637"/>
        <v>0</v>
      </c>
      <c r="AE198" s="17"/>
      <c r="AF198" s="4">
        <f t="shared" si="638"/>
        <v>0</v>
      </c>
      <c r="AG198" s="17"/>
      <c r="AH198" s="44">
        <f t="shared" si="639"/>
        <v>0</v>
      </c>
      <c r="AI198" s="17"/>
      <c r="AJ198" s="44">
        <f t="shared" si="640"/>
        <v>0</v>
      </c>
      <c r="AK198" s="17"/>
      <c r="AL198" s="44">
        <f t="shared" si="624"/>
        <v>0</v>
      </c>
      <c r="AM198" s="17"/>
      <c r="AN198" s="5">
        <f t="shared" si="625"/>
        <v>0</v>
      </c>
      <c r="AO198" s="17"/>
      <c r="AP198" s="4">
        <f t="shared" si="626"/>
        <v>0</v>
      </c>
      <c r="AQ198" s="17"/>
      <c r="AR198" s="4">
        <f t="shared" si="627"/>
        <v>0</v>
      </c>
      <c r="AS198" s="17"/>
      <c r="AT198" s="4">
        <f t="shared" si="628"/>
        <v>0</v>
      </c>
      <c r="AU198" s="73">
        <f t="shared" si="629"/>
        <v>0</v>
      </c>
    </row>
    <row r="199" spans="1:47" x14ac:dyDescent="0.25">
      <c r="A199" s="21"/>
      <c r="C199" s="9"/>
      <c r="D199" s="10"/>
      <c r="E199" s="10"/>
      <c r="F199" s="8"/>
      <c r="G199" s="8"/>
      <c r="H199" s="8"/>
      <c r="I199" s="9"/>
      <c r="J199" s="9"/>
      <c r="M199" s="9"/>
      <c r="O199" s="9"/>
      <c r="P199" s="9"/>
      <c r="Q199" s="9"/>
      <c r="Z199" s="5"/>
      <c r="AB199" s="5"/>
      <c r="AC199" s="18"/>
      <c r="AD199" s="5"/>
      <c r="AE199" s="18"/>
      <c r="AG199" s="18"/>
      <c r="AH199" s="44"/>
      <c r="AJ199" s="44"/>
      <c r="AK199" s="18"/>
      <c r="AL199" s="44"/>
      <c r="AM199" s="18"/>
      <c r="AN199" s="5"/>
      <c r="AO199" s="18"/>
      <c r="AP199" s="5"/>
      <c r="AR199" s="5"/>
      <c r="AS199" s="18"/>
      <c r="AT199" s="5"/>
    </row>
    <row r="200" spans="1:47" s="8" customFormat="1" x14ac:dyDescent="0.25">
      <c r="A200" s="21"/>
      <c r="B200" s="9">
        <f t="shared" ref="B200:B201" si="643">IF(A200="",0,((O200)*20%))</f>
        <v>0</v>
      </c>
      <c r="C200" s="9"/>
      <c r="D200" s="9">
        <f t="shared" ref="D200:D201" si="644">IF(C200="",0,((U200)*5%))</f>
        <v>0</v>
      </c>
      <c r="E200" s="10"/>
      <c r="F200" s="129" t="s">
        <v>47</v>
      </c>
      <c r="G200" s="130" t="s">
        <v>46</v>
      </c>
      <c r="H200" s="129" t="s">
        <v>159</v>
      </c>
      <c r="I200" s="9" t="s">
        <v>11</v>
      </c>
      <c r="J200" s="5">
        <f t="shared" ref="J200:J201" si="645">L200*2</f>
        <v>1450</v>
      </c>
      <c r="K200" s="9"/>
      <c r="L200" s="9">
        <v>725</v>
      </c>
      <c r="M200" s="9"/>
      <c r="N200" s="9">
        <v>0</v>
      </c>
      <c r="O200" s="72">
        <f t="shared" ref="O200:O201" si="646">M200-N200</f>
        <v>0</v>
      </c>
      <c r="P200" s="74">
        <f t="shared" ref="P200:P201" si="647">(M200-N200)*5%</f>
        <v>0</v>
      </c>
      <c r="Q200" s="9"/>
      <c r="R200" s="130"/>
      <c r="S200" s="130"/>
      <c r="T200" s="130"/>
      <c r="U200" s="131">
        <f t="shared" ref="U200:U201" si="648">M200-N200-P200-Q200-R200-S200</f>
        <v>0</v>
      </c>
      <c r="V200" s="130">
        <f t="shared" ref="V200:V201" si="649">U200-B200-D200</f>
        <v>0</v>
      </c>
      <c r="W200" s="132"/>
      <c r="X200" s="133">
        <f t="shared" ref="X200:X201" si="650">100%-Y200-AA200-AC200-AE200-AG200-AI200-AK200-AM200-AO200-AQ200</f>
        <v>1.0000000000000009E-2</v>
      </c>
      <c r="Y200" s="17">
        <f t="shared" ref="Y200:Y201" si="651">(99%-AA200-AC200-AE200-AG200-AI200-AK200-AM200-AO200-AQ200)</f>
        <v>0.73</v>
      </c>
      <c r="Z200" s="65">
        <f t="shared" ref="Z200:Z201" si="652">(V200*Y200)+Q200+R200</f>
        <v>0</v>
      </c>
      <c r="AA200" s="17">
        <v>0.2</v>
      </c>
      <c r="AB200" s="9">
        <f t="shared" ref="AB200:AB201" si="653">(V200*AA200)</f>
        <v>0</v>
      </c>
      <c r="AC200" s="17">
        <v>0.06</v>
      </c>
      <c r="AD200" s="9">
        <f t="shared" ref="AD200:AD201" si="654">V200*AC200</f>
        <v>0</v>
      </c>
      <c r="AE200" s="17"/>
      <c r="AF200" s="4">
        <f t="shared" ref="AF200:AF201" si="655">V200*AE200</f>
        <v>0</v>
      </c>
      <c r="AG200" s="17"/>
      <c r="AH200" s="44">
        <f t="shared" ref="AH200:AH201" si="656">V200*AG200</f>
        <v>0</v>
      </c>
      <c r="AI200" s="17"/>
      <c r="AJ200" s="44">
        <f t="shared" ref="AJ200:AJ201" si="657">V200*AI200</f>
        <v>0</v>
      </c>
      <c r="AK200" s="17"/>
      <c r="AL200" s="44">
        <f t="shared" ref="AL200:AL201" si="658">V200*AK200</f>
        <v>0</v>
      </c>
      <c r="AM200" s="17"/>
      <c r="AN200" s="5">
        <f t="shared" ref="AN200:AN201" si="659">V200*AM200</f>
        <v>0</v>
      </c>
      <c r="AO200" s="17"/>
      <c r="AP200" s="4">
        <f t="shared" ref="AP200:AP201" si="660">V200*AO200</f>
        <v>0</v>
      </c>
      <c r="AQ200" s="17"/>
      <c r="AR200" s="4">
        <f t="shared" ref="AR200:AR201" si="661">V200*AQ200</f>
        <v>0</v>
      </c>
      <c r="AS200" s="17"/>
      <c r="AT200" s="4">
        <f t="shared" ref="AT200:AT201" si="662">X200*AS200</f>
        <v>0</v>
      </c>
      <c r="AU200" s="73">
        <f t="shared" ref="AU200:AU201" si="663">V200*X200</f>
        <v>0</v>
      </c>
    </row>
    <row r="201" spans="1:47" s="8" customFormat="1" x14ac:dyDescent="0.25">
      <c r="A201" s="21"/>
      <c r="B201" s="9">
        <f t="shared" si="643"/>
        <v>0</v>
      </c>
      <c r="C201" s="9"/>
      <c r="D201" s="9">
        <f t="shared" si="644"/>
        <v>0</v>
      </c>
      <c r="E201" s="10"/>
      <c r="F201" s="129" t="s">
        <v>47</v>
      </c>
      <c r="G201" s="130" t="s">
        <v>46</v>
      </c>
      <c r="H201" s="129" t="s">
        <v>159</v>
      </c>
      <c r="I201" s="9" t="s">
        <v>12</v>
      </c>
      <c r="J201" s="5">
        <f t="shared" si="645"/>
        <v>1450</v>
      </c>
      <c r="K201" s="9"/>
      <c r="L201" s="9">
        <f>L200</f>
        <v>725</v>
      </c>
      <c r="M201" s="9"/>
      <c r="N201" s="9">
        <v>0</v>
      </c>
      <c r="O201" s="72">
        <f t="shared" si="646"/>
        <v>0</v>
      </c>
      <c r="P201" s="74">
        <f t="shared" si="647"/>
        <v>0</v>
      </c>
      <c r="Q201" s="9"/>
      <c r="R201" s="130"/>
      <c r="S201" s="130"/>
      <c r="T201" s="130"/>
      <c r="U201" s="131">
        <f t="shared" si="648"/>
        <v>0</v>
      </c>
      <c r="V201" s="130">
        <f t="shared" si="649"/>
        <v>0</v>
      </c>
      <c r="W201" s="132"/>
      <c r="X201" s="133">
        <f t="shared" si="650"/>
        <v>1.0000000000000009E-2</v>
      </c>
      <c r="Y201" s="17">
        <f t="shared" si="651"/>
        <v>0.73</v>
      </c>
      <c r="Z201" s="65">
        <f t="shared" si="652"/>
        <v>0</v>
      </c>
      <c r="AA201" s="17">
        <v>0.2</v>
      </c>
      <c r="AB201" s="9">
        <f t="shared" si="653"/>
        <v>0</v>
      </c>
      <c r="AC201" s="17">
        <v>0.06</v>
      </c>
      <c r="AD201" s="9">
        <f t="shared" si="654"/>
        <v>0</v>
      </c>
      <c r="AE201" s="17"/>
      <c r="AF201" s="4">
        <f t="shared" si="655"/>
        <v>0</v>
      </c>
      <c r="AG201" s="17"/>
      <c r="AH201" s="44">
        <f t="shared" si="656"/>
        <v>0</v>
      </c>
      <c r="AI201" s="17"/>
      <c r="AJ201" s="44">
        <f t="shared" si="657"/>
        <v>0</v>
      </c>
      <c r="AK201" s="17"/>
      <c r="AL201" s="44">
        <f t="shared" si="658"/>
        <v>0</v>
      </c>
      <c r="AM201" s="17"/>
      <c r="AN201" s="5">
        <f t="shared" si="659"/>
        <v>0</v>
      </c>
      <c r="AO201" s="17"/>
      <c r="AP201" s="4">
        <f t="shared" si="660"/>
        <v>0</v>
      </c>
      <c r="AQ201" s="17"/>
      <c r="AR201" s="4">
        <f t="shared" si="661"/>
        <v>0</v>
      </c>
      <c r="AS201" s="17"/>
      <c r="AT201" s="4">
        <f t="shared" si="662"/>
        <v>0</v>
      </c>
      <c r="AU201" s="73">
        <f t="shared" si="663"/>
        <v>0</v>
      </c>
    </row>
    <row r="202" spans="1:47" s="8" customFormat="1" x14ac:dyDescent="0.25">
      <c r="A202" s="21"/>
      <c r="B202" s="9"/>
      <c r="C202" s="9"/>
      <c r="D202" s="9"/>
      <c r="E202" s="10"/>
      <c r="G202" s="41"/>
      <c r="I202" s="9"/>
      <c r="J202" s="9"/>
      <c r="K202" s="9"/>
      <c r="L202" s="9"/>
      <c r="M202" s="9"/>
      <c r="N202" s="9"/>
      <c r="O202" s="9"/>
      <c r="P202" s="9"/>
      <c r="Q202" s="9"/>
      <c r="R202" s="14"/>
      <c r="S202" s="14"/>
      <c r="T202" s="14"/>
      <c r="U202" s="45"/>
      <c r="V202" s="14"/>
      <c r="W202" s="12"/>
      <c r="X202" s="12"/>
      <c r="Y202" s="17"/>
      <c r="Z202" s="65"/>
      <c r="AA202" s="17"/>
      <c r="AB202" s="5"/>
      <c r="AC202" s="17"/>
      <c r="AD202" s="5"/>
      <c r="AE202" s="17"/>
      <c r="AF202" s="4"/>
      <c r="AG202" s="17"/>
      <c r="AH202" s="44"/>
      <c r="AI202" s="17"/>
      <c r="AJ202" s="44"/>
      <c r="AK202" s="17"/>
      <c r="AL202" s="44"/>
      <c r="AM202" s="17"/>
      <c r="AN202" s="4"/>
      <c r="AO202" s="17"/>
      <c r="AP202" s="4"/>
      <c r="AQ202" s="17"/>
      <c r="AR202" s="4"/>
      <c r="AS202" s="17"/>
      <c r="AT202" s="4"/>
      <c r="AU202" s="73"/>
    </row>
    <row r="203" spans="1:47" s="8" customFormat="1" x14ac:dyDescent="0.25">
      <c r="A203" s="21"/>
      <c r="B203" s="9">
        <f>IF(A203="",0,((U203)*10%))</f>
        <v>0</v>
      </c>
      <c r="C203" s="9"/>
      <c r="D203" s="9">
        <f t="shared" ref="D203:D210" si="664">IF(C203="",0,((U203)*5%))</f>
        <v>0</v>
      </c>
      <c r="E203" s="10"/>
      <c r="F203" s="134" t="str">
        <f>F165</f>
        <v>Granit</v>
      </c>
      <c r="G203" s="103" t="s">
        <v>46</v>
      </c>
      <c r="H203" s="102" t="s">
        <v>89</v>
      </c>
      <c r="I203" s="9" t="s">
        <v>2</v>
      </c>
      <c r="J203" s="9">
        <v>833</v>
      </c>
      <c r="K203" s="9"/>
      <c r="L203" s="9">
        <v>833</v>
      </c>
      <c r="M203" s="9">
        <f t="shared" ref="M203:M207" si="665">L203</f>
        <v>833</v>
      </c>
      <c r="N203" s="9"/>
      <c r="O203" s="72">
        <f t="shared" ref="O203:O221" si="666">M203-N203</f>
        <v>833</v>
      </c>
      <c r="P203" s="9"/>
      <c r="Q203" s="9"/>
      <c r="R203" s="103"/>
      <c r="S203" s="103"/>
      <c r="T203" s="103"/>
      <c r="U203" s="107">
        <f>M203-N203-P203-Q203-R203-S203</f>
        <v>833</v>
      </c>
      <c r="V203" s="103">
        <f>U203-B203-D203</f>
        <v>833</v>
      </c>
      <c r="W203" s="108"/>
      <c r="X203" s="13">
        <f t="shared" ref="X203:X207" si="667">100%-Y203-AA203-AC203-AE203-AG203-AI203-AK203-AM203-AO203-AQ203</f>
        <v>1</v>
      </c>
      <c r="Y203" s="17"/>
      <c r="Z203" s="5">
        <f>(V203*Y203)+Q203+R203</f>
        <v>0</v>
      </c>
      <c r="AA203" s="17"/>
      <c r="AB203" s="5">
        <f t="shared" ref="AB203:AB207" si="668">(V203*AA203)</f>
        <v>0</v>
      </c>
      <c r="AC203" s="67"/>
      <c r="AD203" s="5"/>
      <c r="AE203" s="67"/>
      <c r="AF203" s="4">
        <f t="shared" ref="AF203:AF207" si="669">V203*AE203</f>
        <v>0</v>
      </c>
      <c r="AG203" s="67"/>
      <c r="AH203" s="44">
        <f t="shared" ref="AH203:AH207" si="670">V203*AG203</f>
        <v>0</v>
      </c>
      <c r="AI203" s="17"/>
      <c r="AJ203" s="44">
        <f t="shared" ref="AJ203:AJ207" si="671">V203*AI203</f>
        <v>0</v>
      </c>
      <c r="AK203" s="67"/>
      <c r="AL203" s="44">
        <f t="shared" ref="AL203:AL207" si="672">V203*AK203</f>
        <v>0</v>
      </c>
      <c r="AM203" s="67"/>
      <c r="AN203" s="4">
        <f t="shared" ref="AN203:AN207" si="673">V203*AM203</f>
        <v>0</v>
      </c>
      <c r="AO203" s="67"/>
      <c r="AP203" s="4">
        <f t="shared" ref="AP203:AP207" si="674">V203*AO203</f>
        <v>0</v>
      </c>
      <c r="AQ203" s="17"/>
      <c r="AR203" s="4">
        <f t="shared" ref="AR203:AR207" si="675">V203*AQ203</f>
        <v>0</v>
      </c>
      <c r="AS203" s="67"/>
      <c r="AT203" s="4">
        <f t="shared" ref="AT203:AT207" si="676">X203*AS203</f>
        <v>0</v>
      </c>
      <c r="AU203" s="73">
        <f t="shared" ref="AU203:AU207" si="677">V203*X203</f>
        <v>833</v>
      </c>
    </row>
    <row r="204" spans="1:47" s="8" customFormat="1" x14ac:dyDescent="0.25">
      <c r="A204" s="21"/>
      <c r="B204" s="9"/>
      <c r="C204" s="9"/>
      <c r="D204" s="9">
        <f t="shared" si="664"/>
        <v>0</v>
      </c>
      <c r="E204" s="10"/>
      <c r="F204" s="102" t="str">
        <f>F165</f>
        <v>Granit</v>
      </c>
      <c r="G204" s="103" t="s">
        <v>46</v>
      </c>
      <c r="H204" s="102" t="s">
        <v>88</v>
      </c>
      <c r="I204" s="9" t="s">
        <v>11</v>
      </c>
      <c r="J204" s="9">
        <v>1994</v>
      </c>
      <c r="K204" s="9"/>
      <c r="L204" s="9">
        <v>1994</v>
      </c>
      <c r="M204" s="9"/>
      <c r="N204" s="9">
        <v>0</v>
      </c>
      <c r="O204" s="72">
        <f t="shared" si="666"/>
        <v>0</v>
      </c>
      <c r="P204" s="9"/>
      <c r="Q204" s="9"/>
      <c r="R204" s="103"/>
      <c r="S204" s="103"/>
      <c r="T204" s="103"/>
      <c r="U204" s="107">
        <f>M204-N204-P204-Q204-R204-S204</f>
        <v>0</v>
      </c>
      <c r="V204" s="103">
        <f>U204-B204-D204</f>
        <v>0</v>
      </c>
      <c r="W204" s="108"/>
      <c r="X204" s="13">
        <f t="shared" si="667"/>
        <v>1</v>
      </c>
      <c r="Y204" s="17"/>
      <c r="Z204" s="65"/>
      <c r="AA204" s="17"/>
      <c r="AB204" s="5">
        <f t="shared" si="668"/>
        <v>0</v>
      </c>
      <c r="AC204" s="67"/>
      <c r="AD204" s="5"/>
      <c r="AE204" s="67"/>
      <c r="AF204" s="4">
        <f t="shared" si="669"/>
        <v>0</v>
      </c>
      <c r="AG204" s="67"/>
      <c r="AH204" s="44">
        <f t="shared" si="670"/>
        <v>0</v>
      </c>
      <c r="AI204" s="17"/>
      <c r="AJ204" s="44">
        <f t="shared" si="671"/>
        <v>0</v>
      </c>
      <c r="AK204" s="67"/>
      <c r="AL204" s="44">
        <f t="shared" si="672"/>
        <v>0</v>
      </c>
      <c r="AM204" s="67"/>
      <c r="AN204" s="4">
        <f t="shared" si="673"/>
        <v>0</v>
      </c>
      <c r="AO204" s="67"/>
      <c r="AP204" s="4">
        <f t="shared" si="674"/>
        <v>0</v>
      </c>
      <c r="AQ204" s="17"/>
      <c r="AR204" s="4">
        <f t="shared" si="675"/>
        <v>0</v>
      </c>
      <c r="AS204" s="67"/>
      <c r="AT204" s="4">
        <f t="shared" si="676"/>
        <v>0</v>
      </c>
      <c r="AU204" s="73">
        <f t="shared" si="677"/>
        <v>0</v>
      </c>
    </row>
    <row r="205" spans="1:47" s="8" customFormat="1" x14ac:dyDescent="0.25">
      <c r="A205" s="21"/>
      <c r="B205" s="9">
        <f t="shared" ref="B205:B210" si="678">IF(A205="",0,((U205)*10%))</f>
        <v>0</v>
      </c>
      <c r="C205" s="9"/>
      <c r="D205" s="9">
        <f t="shared" si="664"/>
        <v>0</v>
      </c>
      <c r="E205" s="10"/>
      <c r="F205" s="102" t="str">
        <f>F164</f>
        <v>Granit</v>
      </c>
      <c r="G205" s="103" t="s">
        <v>46</v>
      </c>
      <c r="H205" s="102" t="s">
        <v>187</v>
      </c>
      <c r="I205" s="9" t="s">
        <v>10</v>
      </c>
      <c r="J205" s="9">
        <v>1000</v>
      </c>
      <c r="K205" s="9"/>
      <c r="L205" s="9">
        <v>500</v>
      </c>
      <c r="M205" s="123">
        <v>651</v>
      </c>
      <c r="N205" s="9">
        <v>0</v>
      </c>
      <c r="O205" s="72">
        <f t="shared" si="666"/>
        <v>651</v>
      </c>
      <c r="P205" s="9"/>
      <c r="Q205" s="9"/>
      <c r="R205" s="103"/>
      <c r="S205" s="103"/>
      <c r="T205" s="103"/>
      <c r="U205" s="107">
        <f>M205-N205-P205-Q205-R205-S205</f>
        <v>651</v>
      </c>
      <c r="V205" s="103">
        <f>U205-B205-D205</f>
        <v>651</v>
      </c>
      <c r="W205" s="108"/>
      <c r="X205" s="13">
        <f t="shared" si="667"/>
        <v>1</v>
      </c>
      <c r="Y205" s="17"/>
      <c r="Z205" s="9">
        <f>(V205*Y205)+Q205+R205</f>
        <v>0</v>
      </c>
      <c r="AA205" s="17"/>
      <c r="AB205" s="9">
        <f t="shared" ref="AB205:AB206" si="679">(V205*AA205)</f>
        <v>0</v>
      </c>
      <c r="AC205" s="67"/>
      <c r="AD205" s="9"/>
      <c r="AE205" s="67"/>
      <c r="AF205" s="4">
        <f t="shared" ref="AF205:AF206" si="680">V205*AE205</f>
        <v>0</v>
      </c>
      <c r="AG205" s="67"/>
      <c r="AH205" s="57">
        <f t="shared" ref="AH205:AH206" si="681">V205*AG205</f>
        <v>0</v>
      </c>
      <c r="AI205" s="17"/>
      <c r="AJ205" s="57">
        <f t="shared" ref="AJ205:AJ206" si="682">V205*AI205</f>
        <v>0</v>
      </c>
      <c r="AK205" s="67"/>
      <c r="AL205" s="57">
        <f t="shared" ref="AL205:AL206" si="683">V205*AK205</f>
        <v>0</v>
      </c>
      <c r="AM205" s="67"/>
      <c r="AN205" s="10">
        <f t="shared" ref="AN205:AN206" si="684">V205*AM205</f>
        <v>0</v>
      </c>
      <c r="AO205" s="67"/>
      <c r="AP205" s="10">
        <f t="shared" ref="AP205:AP206" si="685">V205*AO205</f>
        <v>0</v>
      </c>
      <c r="AQ205" s="17"/>
      <c r="AR205" s="10">
        <f t="shared" ref="AR205:AR206" si="686">V205*AQ205</f>
        <v>0</v>
      </c>
      <c r="AS205" s="67"/>
      <c r="AT205" s="10">
        <f t="shared" si="676"/>
        <v>0</v>
      </c>
      <c r="AU205" s="73">
        <f t="shared" ref="AU205:AU206" si="687">V205*X205</f>
        <v>651</v>
      </c>
    </row>
    <row r="206" spans="1:47" s="8" customFormat="1" x14ac:dyDescent="0.25">
      <c r="A206" s="21"/>
      <c r="B206" s="9">
        <f t="shared" si="678"/>
        <v>0</v>
      </c>
      <c r="C206" s="9"/>
      <c r="D206" s="9">
        <f t="shared" si="664"/>
        <v>0</v>
      </c>
      <c r="E206" s="10"/>
      <c r="F206" s="134" t="str">
        <f>F164</f>
        <v>Granit</v>
      </c>
      <c r="G206" s="103" t="s">
        <v>46</v>
      </c>
      <c r="H206" s="102" t="s">
        <v>89</v>
      </c>
      <c r="I206" s="9" t="s">
        <v>6</v>
      </c>
      <c r="J206" s="9">
        <v>2700</v>
      </c>
      <c r="K206" s="9"/>
      <c r="L206" s="9">
        <v>2700</v>
      </c>
      <c r="M206" s="9">
        <f t="shared" ref="M206" si="688">L206</f>
        <v>2700</v>
      </c>
      <c r="N206" s="9">
        <v>0</v>
      </c>
      <c r="O206" s="72">
        <f t="shared" si="666"/>
        <v>2700</v>
      </c>
      <c r="P206" s="9"/>
      <c r="Q206" s="9"/>
      <c r="R206" s="103"/>
      <c r="S206" s="103"/>
      <c r="T206" s="103"/>
      <c r="U206" s="107">
        <f>M206-N206-P206-Q206-R206-S206</f>
        <v>2700</v>
      </c>
      <c r="V206" s="103">
        <f>U206-B206-D206</f>
        <v>2700</v>
      </c>
      <c r="W206" s="108"/>
      <c r="X206" s="13">
        <f t="shared" si="667"/>
        <v>1</v>
      </c>
      <c r="Y206" s="17"/>
      <c r="Z206" s="5">
        <f>(V206*Y206)+Q206+R206</f>
        <v>0</v>
      </c>
      <c r="AA206" s="17"/>
      <c r="AB206" s="5">
        <f t="shared" si="679"/>
        <v>0</v>
      </c>
      <c r="AC206" s="67"/>
      <c r="AD206" s="5"/>
      <c r="AE206" s="67"/>
      <c r="AF206" s="4">
        <f t="shared" si="680"/>
        <v>0</v>
      </c>
      <c r="AG206" s="67"/>
      <c r="AH206" s="44">
        <f t="shared" si="681"/>
        <v>0</v>
      </c>
      <c r="AI206" s="17"/>
      <c r="AJ206" s="44">
        <f t="shared" si="682"/>
        <v>0</v>
      </c>
      <c r="AK206" s="67"/>
      <c r="AL206" s="44">
        <f t="shared" si="683"/>
        <v>0</v>
      </c>
      <c r="AM206" s="67"/>
      <c r="AN206" s="4">
        <f t="shared" si="684"/>
        <v>0</v>
      </c>
      <c r="AO206" s="67"/>
      <c r="AP206" s="4">
        <f t="shared" si="685"/>
        <v>0</v>
      </c>
      <c r="AQ206" s="17"/>
      <c r="AR206" s="4">
        <f t="shared" si="686"/>
        <v>0</v>
      </c>
      <c r="AS206" s="67"/>
      <c r="AT206" s="4">
        <f t="shared" si="676"/>
        <v>0</v>
      </c>
      <c r="AU206" s="73">
        <f t="shared" si="687"/>
        <v>2700</v>
      </c>
    </row>
    <row r="207" spans="1:47" s="8" customFormat="1" x14ac:dyDescent="0.25">
      <c r="A207" s="21"/>
      <c r="B207" s="9">
        <f t="shared" si="678"/>
        <v>0</v>
      </c>
      <c r="C207" s="9"/>
      <c r="D207" s="9">
        <f t="shared" si="664"/>
        <v>0</v>
      </c>
      <c r="E207" s="10"/>
      <c r="F207" s="134" t="str">
        <f>F165</f>
        <v>Granit</v>
      </c>
      <c r="G207" s="103" t="s">
        <v>46</v>
      </c>
      <c r="H207" s="102" t="s">
        <v>89</v>
      </c>
      <c r="I207" s="9" t="s">
        <v>9</v>
      </c>
      <c r="J207" s="9">
        <v>1756</v>
      </c>
      <c r="K207" s="9"/>
      <c r="L207" s="9">
        <v>1756</v>
      </c>
      <c r="M207" s="9">
        <f t="shared" si="665"/>
        <v>1756</v>
      </c>
      <c r="N207" s="9">
        <v>0</v>
      </c>
      <c r="O207" s="72">
        <f t="shared" si="666"/>
        <v>1756</v>
      </c>
      <c r="P207" s="9"/>
      <c r="Q207" s="9"/>
      <c r="R207" s="103"/>
      <c r="S207" s="103"/>
      <c r="T207" s="103"/>
      <c r="U207" s="107">
        <f>M207-N207-P207-Q207-R207-S207</f>
        <v>1756</v>
      </c>
      <c r="V207" s="103">
        <f>U207-B207-D207</f>
        <v>1756</v>
      </c>
      <c r="W207" s="108"/>
      <c r="X207" s="13">
        <f t="shared" si="667"/>
        <v>1</v>
      </c>
      <c r="Y207" s="17"/>
      <c r="Z207" s="5">
        <f>(V207*Y207)+Q207+R207</f>
        <v>0</v>
      </c>
      <c r="AA207" s="17"/>
      <c r="AB207" s="5">
        <f t="shared" si="668"/>
        <v>0</v>
      </c>
      <c r="AC207" s="67"/>
      <c r="AD207" s="5"/>
      <c r="AE207" s="67"/>
      <c r="AF207" s="4">
        <f t="shared" si="669"/>
        <v>0</v>
      </c>
      <c r="AG207" s="67"/>
      <c r="AH207" s="44">
        <f t="shared" si="670"/>
        <v>0</v>
      </c>
      <c r="AI207" s="17"/>
      <c r="AJ207" s="44">
        <f t="shared" si="671"/>
        <v>0</v>
      </c>
      <c r="AK207" s="67"/>
      <c r="AL207" s="44">
        <f t="shared" si="672"/>
        <v>0</v>
      </c>
      <c r="AM207" s="67"/>
      <c r="AN207" s="4">
        <f t="shared" si="673"/>
        <v>0</v>
      </c>
      <c r="AO207" s="67"/>
      <c r="AP207" s="4">
        <f t="shared" si="674"/>
        <v>0</v>
      </c>
      <c r="AQ207" s="17"/>
      <c r="AR207" s="4">
        <f t="shared" si="675"/>
        <v>0</v>
      </c>
      <c r="AS207" s="67"/>
      <c r="AT207" s="4">
        <f t="shared" si="676"/>
        <v>0</v>
      </c>
      <c r="AU207" s="73">
        <f t="shared" si="677"/>
        <v>1756</v>
      </c>
    </row>
    <row r="208" spans="1:47" s="8" customFormat="1" x14ac:dyDescent="0.25">
      <c r="A208" s="21"/>
      <c r="B208" s="9">
        <f t="shared" si="678"/>
        <v>0</v>
      </c>
      <c r="C208" s="9"/>
      <c r="D208" s="9">
        <f t="shared" si="664"/>
        <v>0</v>
      </c>
      <c r="E208" s="10"/>
      <c r="F208" s="102" t="s">
        <v>90</v>
      </c>
      <c r="G208" s="103" t="s">
        <v>46</v>
      </c>
      <c r="H208" s="102" t="s">
        <v>91</v>
      </c>
      <c r="I208" s="9" t="s">
        <v>10</v>
      </c>
      <c r="J208" s="9">
        <v>870</v>
      </c>
      <c r="K208" s="5"/>
      <c r="L208" s="9">
        <v>870</v>
      </c>
      <c r="M208" s="9">
        <f>L208</f>
        <v>870</v>
      </c>
      <c r="N208" s="5"/>
      <c r="O208" s="72">
        <f t="shared" ref="O208:O215" si="689">M208-N208</f>
        <v>870</v>
      </c>
      <c r="P208" s="9"/>
      <c r="Q208" s="9"/>
      <c r="R208" s="103"/>
      <c r="S208" s="103"/>
      <c r="T208" s="103"/>
      <c r="U208" s="107">
        <f t="shared" ref="U208:U215" si="690">M208-N208-P208-Q208-R208-S208</f>
        <v>870</v>
      </c>
      <c r="V208" s="103">
        <f t="shared" ref="V208:V215" si="691">U208-B208-D208</f>
        <v>870</v>
      </c>
      <c r="W208" s="108"/>
      <c r="X208" s="13">
        <f>100%-Y208-AA208-AC208-AE208-AG208-AI208-AK208-AM208-AO208-AQ208</f>
        <v>1</v>
      </c>
      <c r="Y208" s="17"/>
      <c r="Z208" s="9">
        <f t="shared" ref="Z208" si="692">(V208*Y208)+Q208+R208</f>
        <v>0</v>
      </c>
      <c r="AA208" s="17"/>
      <c r="AB208" s="9">
        <f t="shared" ref="AB208:AB209" si="693">(V208*AA208)</f>
        <v>0</v>
      </c>
      <c r="AC208" s="67"/>
      <c r="AD208" s="9"/>
      <c r="AE208" s="67"/>
      <c r="AF208" s="4">
        <f t="shared" ref="AF208:AF209" si="694">V208*AE208</f>
        <v>0</v>
      </c>
      <c r="AG208" s="67"/>
      <c r="AH208" s="57">
        <f t="shared" ref="AH208:AH209" si="695">V208*AG208</f>
        <v>0</v>
      </c>
      <c r="AI208" s="17"/>
      <c r="AJ208" s="57">
        <f t="shared" ref="AJ208:AJ209" si="696">V208*AI208</f>
        <v>0</v>
      </c>
      <c r="AK208" s="67"/>
      <c r="AL208" s="57">
        <f t="shared" ref="AL208:AL209" si="697">V208*AK208</f>
        <v>0</v>
      </c>
      <c r="AM208" s="67"/>
      <c r="AN208" s="9">
        <f t="shared" ref="AN208:AN209" si="698">V208*AM208</f>
        <v>0</v>
      </c>
      <c r="AO208" s="67"/>
      <c r="AP208" s="10">
        <f t="shared" ref="AP208:AP209" si="699">V208*AO208</f>
        <v>0</v>
      </c>
      <c r="AQ208" s="17"/>
      <c r="AR208" s="10">
        <f t="shared" ref="AR208:AR209" si="700">V208*AQ208</f>
        <v>0</v>
      </c>
      <c r="AS208" s="67"/>
      <c r="AT208" s="10">
        <f t="shared" ref="AT208:AT215" si="701">X208*AS208</f>
        <v>0</v>
      </c>
      <c r="AU208" s="73">
        <f t="shared" ref="AU208:AU209" si="702">V208*X208</f>
        <v>870</v>
      </c>
    </row>
    <row r="209" spans="1:47" s="8" customFormat="1" x14ac:dyDescent="0.25">
      <c r="A209" s="21"/>
      <c r="B209" s="9">
        <f t="shared" si="678"/>
        <v>0</v>
      </c>
      <c r="C209" s="9"/>
      <c r="D209" s="9">
        <f t="shared" si="664"/>
        <v>0</v>
      </c>
      <c r="E209" s="10"/>
      <c r="F209" s="102" t="s">
        <v>90</v>
      </c>
      <c r="G209" s="103" t="s">
        <v>46</v>
      </c>
      <c r="H209" s="102" t="s">
        <v>92</v>
      </c>
      <c r="I209" s="9" t="s">
        <v>9</v>
      </c>
      <c r="J209" s="9">
        <v>150</v>
      </c>
      <c r="K209" s="9"/>
      <c r="L209" s="9">
        <v>150</v>
      </c>
      <c r="M209" s="9">
        <f>L209</f>
        <v>150</v>
      </c>
      <c r="N209" s="9">
        <v>0</v>
      </c>
      <c r="O209" s="72">
        <f t="shared" si="689"/>
        <v>150</v>
      </c>
      <c r="P209" s="9"/>
      <c r="Q209" s="9"/>
      <c r="R209" s="103"/>
      <c r="S209" s="103"/>
      <c r="T209" s="103"/>
      <c r="U209" s="107">
        <f t="shared" si="690"/>
        <v>150</v>
      </c>
      <c r="V209" s="103">
        <f t="shared" si="691"/>
        <v>150</v>
      </c>
      <c r="W209" s="108"/>
      <c r="X209" s="13">
        <f t="shared" ref="X209:X210" si="703">100%-Y209-AA209-AC209-AE209-AG209-AI209-AK209-AM209-AO209-AQ209</f>
        <v>1</v>
      </c>
      <c r="Y209" s="17"/>
      <c r="Z209" s="5">
        <f>(V209*Y209)+Q209+R209</f>
        <v>0</v>
      </c>
      <c r="AA209" s="17"/>
      <c r="AB209" s="5">
        <f t="shared" si="693"/>
        <v>0</v>
      </c>
      <c r="AC209" s="67"/>
      <c r="AD209" s="5"/>
      <c r="AE209" s="67"/>
      <c r="AF209" s="4">
        <f t="shared" si="694"/>
        <v>0</v>
      </c>
      <c r="AG209" s="67"/>
      <c r="AH209" s="44">
        <f t="shared" si="695"/>
        <v>0</v>
      </c>
      <c r="AI209" s="17"/>
      <c r="AJ209" s="44">
        <f t="shared" si="696"/>
        <v>0</v>
      </c>
      <c r="AK209" s="67"/>
      <c r="AL209" s="44">
        <f t="shared" si="697"/>
        <v>0</v>
      </c>
      <c r="AM209" s="67"/>
      <c r="AN209" s="4">
        <f t="shared" si="698"/>
        <v>0</v>
      </c>
      <c r="AO209" s="67"/>
      <c r="AP209" s="4">
        <f t="shared" si="699"/>
        <v>0</v>
      </c>
      <c r="AQ209" s="17"/>
      <c r="AR209" s="4">
        <f t="shared" si="700"/>
        <v>0</v>
      </c>
      <c r="AS209" s="67"/>
      <c r="AT209" s="4">
        <f t="shared" si="701"/>
        <v>0</v>
      </c>
      <c r="AU209" s="73">
        <f t="shared" si="702"/>
        <v>150</v>
      </c>
    </row>
    <row r="210" spans="1:47" s="8" customFormat="1" x14ac:dyDescent="0.25">
      <c r="A210" s="21"/>
      <c r="B210" s="9">
        <f t="shared" si="678"/>
        <v>0</v>
      </c>
      <c r="C210" s="9"/>
      <c r="D210" s="9">
        <f t="shared" si="664"/>
        <v>0</v>
      </c>
      <c r="E210" s="10"/>
      <c r="F210" s="102" t="s">
        <v>90</v>
      </c>
      <c r="G210" s="103" t="s">
        <v>46</v>
      </c>
      <c r="H210" s="102" t="s">
        <v>93</v>
      </c>
      <c r="I210" s="9" t="s">
        <v>10</v>
      </c>
      <c r="J210" s="9">
        <v>872</v>
      </c>
      <c r="K210" s="5"/>
      <c r="L210" s="9">
        <v>872</v>
      </c>
      <c r="M210" s="9"/>
      <c r="N210" s="5"/>
      <c r="O210" s="72">
        <f t="shared" si="689"/>
        <v>0</v>
      </c>
      <c r="P210" s="9"/>
      <c r="Q210" s="9"/>
      <c r="R210" s="103"/>
      <c r="S210" s="103"/>
      <c r="T210" s="103"/>
      <c r="U210" s="107">
        <f t="shared" si="690"/>
        <v>0</v>
      </c>
      <c r="V210" s="103">
        <f t="shared" si="691"/>
        <v>0</v>
      </c>
      <c r="W210" s="108"/>
      <c r="X210" s="13">
        <f t="shared" si="703"/>
        <v>1</v>
      </c>
      <c r="Y210" s="17"/>
      <c r="Z210" s="9">
        <f t="shared" ref="Z210:Z216" si="704">(V210*Y210)+Q210+R210</f>
        <v>0</v>
      </c>
      <c r="AA210" s="17"/>
      <c r="AB210" s="9">
        <f t="shared" ref="AB210:AB215" si="705">(V210*AA210)</f>
        <v>0</v>
      </c>
      <c r="AC210" s="67"/>
      <c r="AD210" s="9"/>
      <c r="AE210" s="67"/>
      <c r="AF210" s="4">
        <f t="shared" ref="AF210:AF215" si="706">V210*AE210</f>
        <v>0</v>
      </c>
      <c r="AG210" s="67"/>
      <c r="AH210" s="57">
        <f t="shared" ref="AH210:AH215" si="707">V210*AG210</f>
        <v>0</v>
      </c>
      <c r="AI210" s="17"/>
      <c r="AJ210" s="57">
        <f t="shared" ref="AJ210:AJ215" si="708">V210*AI210</f>
        <v>0</v>
      </c>
      <c r="AK210" s="67"/>
      <c r="AL210" s="57">
        <f t="shared" ref="AL210:AL215" si="709">V210*AK210</f>
        <v>0</v>
      </c>
      <c r="AM210" s="67"/>
      <c r="AN210" s="9">
        <f t="shared" ref="AN210:AN215" si="710">V210*AM210</f>
        <v>0</v>
      </c>
      <c r="AO210" s="67"/>
      <c r="AP210" s="10">
        <f t="shared" ref="AP210:AP215" si="711">V210*AO210</f>
        <v>0</v>
      </c>
      <c r="AQ210" s="17"/>
      <c r="AR210" s="10">
        <f t="shared" ref="AR210:AR215" si="712">V210*AQ210</f>
        <v>0</v>
      </c>
      <c r="AS210" s="67"/>
      <c r="AT210" s="10">
        <f t="shared" si="701"/>
        <v>0</v>
      </c>
      <c r="AU210" s="73">
        <f t="shared" ref="AU210:AU215" si="713">V210*X210</f>
        <v>0</v>
      </c>
    </row>
    <row r="211" spans="1:47" x14ac:dyDescent="0.25">
      <c r="A211" s="21"/>
      <c r="C211" s="9"/>
      <c r="D211" s="10"/>
      <c r="E211" s="10"/>
      <c r="F211" s="102" t="s">
        <v>90</v>
      </c>
      <c r="G211" s="103" t="s">
        <v>46</v>
      </c>
      <c r="H211" s="102" t="s">
        <v>94</v>
      </c>
      <c r="I211" s="9" t="s">
        <v>10</v>
      </c>
      <c r="J211" s="9">
        <v>1000</v>
      </c>
      <c r="L211" s="9">
        <v>1000</v>
      </c>
      <c r="M211" s="9"/>
      <c r="O211" s="72">
        <f t="shared" si="689"/>
        <v>0</v>
      </c>
      <c r="P211" s="9"/>
      <c r="Q211" s="9"/>
      <c r="R211" s="103"/>
      <c r="S211" s="103"/>
      <c r="T211" s="103"/>
      <c r="U211" s="107">
        <f t="shared" si="690"/>
        <v>0</v>
      </c>
      <c r="V211" s="103">
        <f t="shared" si="691"/>
        <v>0</v>
      </c>
      <c r="W211" s="108"/>
      <c r="X211" s="13">
        <f t="shared" ref="X211:X214" si="714">100%-Y211-AA211-AC211-AE211-AG211-AI211-AK211-AM211-AO211-AQ211</f>
        <v>1</v>
      </c>
      <c r="Y211" s="17"/>
      <c r="Z211" s="9">
        <f t="shared" si="704"/>
        <v>0</v>
      </c>
      <c r="AA211" s="17"/>
      <c r="AB211" s="9">
        <f t="shared" si="705"/>
        <v>0</v>
      </c>
      <c r="AC211" s="67"/>
      <c r="AE211" s="67"/>
      <c r="AF211" s="4">
        <f t="shared" si="706"/>
        <v>0</v>
      </c>
      <c r="AG211" s="67"/>
      <c r="AH211" s="57">
        <f t="shared" si="707"/>
        <v>0</v>
      </c>
      <c r="AI211" s="17"/>
      <c r="AJ211" s="57">
        <f t="shared" si="708"/>
        <v>0</v>
      </c>
      <c r="AK211" s="67"/>
      <c r="AL211" s="57">
        <f t="shared" si="709"/>
        <v>0</v>
      </c>
      <c r="AM211" s="67"/>
      <c r="AN211" s="9">
        <f t="shared" si="710"/>
        <v>0</v>
      </c>
      <c r="AO211" s="67"/>
      <c r="AP211" s="10">
        <f t="shared" si="711"/>
        <v>0</v>
      </c>
      <c r="AQ211" s="17"/>
      <c r="AR211" s="10">
        <f t="shared" si="712"/>
        <v>0</v>
      </c>
      <c r="AS211" s="67"/>
      <c r="AT211" s="10">
        <f t="shared" si="701"/>
        <v>0</v>
      </c>
      <c r="AU211" s="73">
        <f t="shared" si="713"/>
        <v>0</v>
      </c>
    </row>
    <row r="212" spans="1:47" x14ac:dyDescent="0.25">
      <c r="A212" s="21"/>
      <c r="C212" s="9"/>
      <c r="D212" s="10"/>
      <c r="E212" s="10"/>
      <c r="F212" s="102" t="s">
        <v>90</v>
      </c>
      <c r="G212" s="103" t="s">
        <v>46</v>
      </c>
      <c r="H212" s="102" t="s">
        <v>95</v>
      </c>
      <c r="I212" s="9" t="s">
        <v>10</v>
      </c>
      <c r="J212" s="9">
        <v>158</v>
      </c>
      <c r="L212" s="9">
        <v>158</v>
      </c>
      <c r="M212" s="9">
        <f>L212</f>
        <v>158</v>
      </c>
      <c r="O212" s="72">
        <f t="shared" si="689"/>
        <v>158</v>
      </c>
      <c r="P212" s="9"/>
      <c r="Q212" s="9"/>
      <c r="R212" s="103"/>
      <c r="S212" s="103"/>
      <c r="T212" s="103"/>
      <c r="U212" s="107">
        <f t="shared" si="690"/>
        <v>158</v>
      </c>
      <c r="V212" s="103">
        <f t="shared" si="691"/>
        <v>158</v>
      </c>
      <c r="W212" s="108"/>
      <c r="X212" s="13">
        <f t="shared" si="714"/>
        <v>1</v>
      </c>
      <c r="Y212" s="17"/>
      <c r="Z212" s="9">
        <f t="shared" si="704"/>
        <v>0</v>
      </c>
      <c r="AA212" s="17"/>
      <c r="AB212" s="9">
        <f t="shared" si="705"/>
        <v>0</v>
      </c>
      <c r="AC212" s="67"/>
      <c r="AE212" s="67"/>
      <c r="AF212" s="4">
        <f t="shared" si="706"/>
        <v>0</v>
      </c>
      <c r="AG212" s="67"/>
      <c r="AH212" s="57">
        <f t="shared" si="707"/>
        <v>0</v>
      </c>
      <c r="AI212" s="17"/>
      <c r="AJ212" s="57">
        <f t="shared" si="708"/>
        <v>0</v>
      </c>
      <c r="AK212" s="67"/>
      <c r="AL212" s="57">
        <f t="shared" si="709"/>
        <v>0</v>
      </c>
      <c r="AM212" s="67"/>
      <c r="AN212" s="9">
        <f t="shared" si="710"/>
        <v>0</v>
      </c>
      <c r="AO212" s="67"/>
      <c r="AP212" s="10">
        <f t="shared" si="711"/>
        <v>0</v>
      </c>
      <c r="AQ212" s="17"/>
      <c r="AR212" s="10">
        <f t="shared" si="712"/>
        <v>0</v>
      </c>
      <c r="AS212" s="67"/>
      <c r="AT212" s="10">
        <f t="shared" si="701"/>
        <v>0</v>
      </c>
      <c r="AU212" s="73">
        <f t="shared" si="713"/>
        <v>158</v>
      </c>
    </row>
    <row r="213" spans="1:47" x14ac:dyDescent="0.25">
      <c r="A213" s="9"/>
      <c r="C213" s="9"/>
      <c r="D213" s="9"/>
      <c r="E213" s="9"/>
      <c r="F213" s="102" t="s">
        <v>90</v>
      </c>
      <c r="G213" s="103" t="s">
        <v>46</v>
      </c>
      <c r="H213" s="102" t="s">
        <v>96</v>
      </c>
      <c r="I213" s="9" t="s">
        <v>10</v>
      </c>
      <c r="J213" s="9">
        <v>1000</v>
      </c>
      <c r="L213" s="9">
        <v>1000</v>
      </c>
      <c r="M213" s="9"/>
      <c r="O213" s="72">
        <f t="shared" si="689"/>
        <v>0</v>
      </c>
      <c r="P213" s="9"/>
      <c r="Q213" s="9"/>
      <c r="R213" s="103"/>
      <c r="S213" s="103"/>
      <c r="T213" s="103"/>
      <c r="U213" s="107">
        <f t="shared" si="690"/>
        <v>0</v>
      </c>
      <c r="V213" s="103">
        <f t="shared" si="691"/>
        <v>0</v>
      </c>
      <c r="W213" s="108"/>
      <c r="X213" s="13">
        <f t="shared" si="714"/>
        <v>1</v>
      </c>
      <c r="Y213" s="17"/>
      <c r="Z213" s="9">
        <f t="shared" si="704"/>
        <v>0</v>
      </c>
      <c r="AA213" s="17"/>
      <c r="AB213" s="9">
        <f t="shared" si="705"/>
        <v>0</v>
      </c>
      <c r="AC213" s="67"/>
      <c r="AE213" s="67"/>
      <c r="AF213" s="4">
        <f t="shared" si="706"/>
        <v>0</v>
      </c>
      <c r="AG213" s="67"/>
      <c r="AH213" s="57">
        <f t="shared" si="707"/>
        <v>0</v>
      </c>
      <c r="AI213" s="17"/>
      <c r="AJ213" s="57">
        <f t="shared" si="708"/>
        <v>0</v>
      </c>
      <c r="AK213" s="67"/>
      <c r="AL213" s="57">
        <f t="shared" si="709"/>
        <v>0</v>
      </c>
      <c r="AM213" s="67"/>
      <c r="AN213" s="9">
        <f t="shared" si="710"/>
        <v>0</v>
      </c>
      <c r="AO213" s="67"/>
      <c r="AP213" s="10">
        <f t="shared" si="711"/>
        <v>0</v>
      </c>
      <c r="AQ213" s="17"/>
      <c r="AR213" s="10">
        <f t="shared" si="712"/>
        <v>0</v>
      </c>
      <c r="AS213" s="67"/>
      <c r="AT213" s="10">
        <f t="shared" si="701"/>
        <v>0</v>
      </c>
      <c r="AU213" s="73">
        <f t="shared" si="713"/>
        <v>0</v>
      </c>
    </row>
    <row r="214" spans="1:47" x14ac:dyDescent="0.25">
      <c r="A214" s="9"/>
      <c r="C214" s="9"/>
      <c r="D214" s="9"/>
      <c r="E214" s="9"/>
      <c r="F214" s="102" t="s">
        <v>90</v>
      </c>
      <c r="G214" s="103" t="s">
        <v>46</v>
      </c>
      <c r="H214" s="102" t="s">
        <v>97</v>
      </c>
      <c r="I214" s="9" t="s">
        <v>10</v>
      </c>
      <c r="J214" s="9">
        <v>252</v>
      </c>
      <c r="L214" s="9">
        <v>252</v>
      </c>
      <c r="M214" s="9">
        <f t="shared" ref="M214:M215" si="715">L214</f>
        <v>252</v>
      </c>
      <c r="O214" s="72">
        <f t="shared" si="689"/>
        <v>252</v>
      </c>
      <c r="P214" s="9"/>
      <c r="Q214" s="9"/>
      <c r="R214" s="103"/>
      <c r="S214" s="103"/>
      <c r="T214" s="103"/>
      <c r="U214" s="107">
        <f t="shared" si="690"/>
        <v>252</v>
      </c>
      <c r="V214" s="103">
        <f t="shared" si="691"/>
        <v>252</v>
      </c>
      <c r="W214" s="108"/>
      <c r="X214" s="13">
        <f t="shared" si="714"/>
        <v>1</v>
      </c>
      <c r="Y214" s="17"/>
      <c r="Z214" s="9">
        <f t="shared" si="704"/>
        <v>0</v>
      </c>
      <c r="AA214" s="17"/>
      <c r="AB214" s="9">
        <f t="shared" si="705"/>
        <v>0</v>
      </c>
      <c r="AC214" s="67"/>
      <c r="AE214" s="67"/>
      <c r="AF214" s="4">
        <f t="shared" si="706"/>
        <v>0</v>
      </c>
      <c r="AG214" s="67"/>
      <c r="AH214" s="57">
        <f t="shared" si="707"/>
        <v>0</v>
      </c>
      <c r="AI214" s="17"/>
      <c r="AJ214" s="57">
        <f t="shared" si="708"/>
        <v>0</v>
      </c>
      <c r="AK214" s="67"/>
      <c r="AL214" s="57">
        <f t="shared" si="709"/>
        <v>0</v>
      </c>
      <c r="AM214" s="67"/>
      <c r="AN214" s="9">
        <f t="shared" si="710"/>
        <v>0</v>
      </c>
      <c r="AO214" s="67"/>
      <c r="AP214" s="10">
        <f t="shared" si="711"/>
        <v>0</v>
      </c>
      <c r="AQ214" s="17"/>
      <c r="AR214" s="10">
        <f t="shared" si="712"/>
        <v>0</v>
      </c>
      <c r="AS214" s="67"/>
      <c r="AT214" s="10">
        <f t="shared" si="701"/>
        <v>0</v>
      </c>
      <c r="AU214" s="73">
        <f t="shared" si="713"/>
        <v>252</v>
      </c>
    </row>
    <row r="215" spans="1:47" x14ac:dyDescent="0.25">
      <c r="A215" s="21"/>
      <c r="C215" s="9"/>
      <c r="D215" s="10"/>
      <c r="E215" s="10"/>
      <c r="F215" s="102" t="s">
        <v>90</v>
      </c>
      <c r="G215" s="103" t="s">
        <v>46</v>
      </c>
      <c r="H215" s="102" t="s">
        <v>98</v>
      </c>
      <c r="I215" s="9" t="s">
        <v>10</v>
      </c>
      <c r="J215" s="9">
        <v>1771</v>
      </c>
      <c r="L215" s="9">
        <v>1771</v>
      </c>
      <c r="M215" s="9">
        <f t="shared" si="715"/>
        <v>1771</v>
      </c>
      <c r="O215" s="72">
        <f t="shared" si="689"/>
        <v>1771</v>
      </c>
      <c r="P215" s="9"/>
      <c r="Q215" s="9"/>
      <c r="R215" s="103"/>
      <c r="S215" s="103"/>
      <c r="T215" s="103"/>
      <c r="U215" s="107">
        <f t="shared" si="690"/>
        <v>1771</v>
      </c>
      <c r="V215" s="103">
        <f t="shared" si="691"/>
        <v>1771</v>
      </c>
      <c r="W215" s="108"/>
      <c r="X215" s="13">
        <f>100%-Y215-AA215-AC215-AE215-AG215-AI215-AK215-AM215-AO215-AQ215</f>
        <v>1</v>
      </c>
      <c r="Y215" s="17"/>
      <c r="Z215" s="9">
        <f t="shared" si="704"/>
        <v>0</v>
      </c>
      <c r="AA215" s="17"/>
      <c r="AB215" s="9">
        <f t="shared" si="705"/>
        <v>0</v>
      </c>
      <c r="AC215" s="67"/>
      <c r="AE215" s="67"/>
      <c r="AF215" s="4">
        <f t="shared" si="706"/>
        <v>0</v>
      </c>
      <c r="AG215" s="67"/>
      <c r="AH215" s="57">
        <f t="shared" si="707"/>
        <v>0</v>
      </c>
      <c r="AI215" s="17"/>
      <c r="AJ215" s="57">
        <f t="shared" si="708"/>
        <v>0</v>
      </c>
      <c r="AK215" s="67"/>
      <c r="AL215" s="57">
        <f t="shared" si="709"/>
        <v>0</v>
      </c>
      <c r="AM215" s="67"/>
      <c r="AN215" s="9">
        <f t="shared" si="710"/>
        <v>0</v>
      </c>
      <c r="AO215" s="67"/>
      <c r="AP215" s="10">
        <f t="shared" si="711"/>
        <v>0</v>
      </c>
      <c r="AQ215" s="17"/>
      <c r="AR215" s="10">
        <f t="shared" si="712"/>
        <v>0</v>
      </c>
      <c r="AS215" s="67"/>
      <c r="AT215" s="10">
        <f t="shared" si="701"/>
        <v>0</v>
      </c>
      <c r="AU215" s="73">
        <f t="shared" si="713"/>
        <v>1771</v>
      </c>
    </row>
    <row r="216" spans="1:47" x14ac:dyDescent="0.25">
      <c r="A216" s="21"/>
      <c r="C216" s="9"/>
      <c r="D216" s="10"/>
      <c r="E216" s="10"/>
      <c r="F216" s="102" t="s">
        <v>90</v>
      </c>
      <c r="G216" s="103" t="s">
        <v>46</v>
      </c>
      <c r="H216" s="102" t="s">
        <v>140</v>
      </c>
      <c r="I216" s="9" t="s">
        <v>11</v>
      </c>
      <c r="J216" s="9">
        <v>873</v>
      </c>
      <c r="K216" s="9"/>
      <c r="L216" s="9">
        <v>873</v>
      </c>
      <c r="M216" s="9"/>
      <c r="N216" s="9"/>
      <c r="O216" s="72">
        <f t="shared" ref="O216" si="716">M216-N216</f>
        <v>0</v>
      </c>
      <c r="P216" s="9"/>
      <c r="Q216" s="9"/>
      <c r="R216" s="103"/>
      <c r="S216" s="103"/>
      <c r="T216" s="103"/>
      <c r="U216" s="107">
        <f t="shared" ref="U216" si="717">M216-N216-P216-Q216-R216-S216</f>
        <v>0</v>
      </c>
      <c r="V216" s="103">
        <f t="shared" ref="V216" si="718">U216-B216-D216</f>
        <v>0</v>
      </c>
      <c r="W216" s="108"/>
      <c r="X216" s="13">
        <f>100%-Y216-AA216-AC216-AE216-AG216-AI216-AK216-AM216-AO216-AQ216</f>
        <v>1</v>
      </c>
      <c r="Y216" s="17"/>
      <c r="Z216" s="5">
        <f t="shared" si="704"/>
        <v>0</v>
      </c>
      <c r="AA216" s="17"/>
      <c r="AB216" s="5"/>
      <c r="AD216" s="5"/>
      <c r="AH216" s="44"/>
      <c r="AJ216" s="44"/>
      <c r="AL216" s="44"/>
      <c r="AN216" s="5"/>
      <c r="AP216" s="5"/>
      <c r="AR216" s="5"/>
      <c r="AT216" s="5"/>
    </row>
    <row r="217" spans="1:47" s="8" customFormat="1" x14ac:dyDescent="0.25">
      <c r="A217" s="21"/>
      <c r="B217" s="9"/>
      <c r="C217" s="9"/>
      <c r="D217" s="9"/>
      <c r="E217" s="10"/>
      <c r="G217" s="41"/>
      <c r="I217" s="9"/>
      <c r="J217" s="9"/>
      <c r="K217" s="5"/>
      <c r="L217" s="9"/>
      <c r="M217" s="9"/>
      <c r="N217" s="9"/>
      <c r="O217" s="9"/>
      <c r="P217" s="9"/>
      <c r="Q217" s="9"/>
      <c r="R217" s="14"/>
      <c r="S217" s="14"/>
      <c r="T217" s="14"/>
      <c r="U217" s="45"/>
      <c r="V217" s="14"/>
      <c r="W217" s="12"/>
      <c r="X217" s="12"/>
      <c r="Y217" s="17"/>
      <c r="Z217" s="65"/>
      <c r="AA217" s="17"/>
      <c r="AB217" s="5"/>
      <c r="AC217" s="17"/>
      <c r="AD217" s="5"/>
      <c r="AE217" s="17"/>
      <c r="AF217" s="4"/>
      <c r="AG217" s="17"/>
      <c r="AH217" s="44"/>
      <c r="AI217" s="17"/>
      <c r="AJ217" s="44"/>
      <c r="AK217" s="17"/>
      <c r="AL217" s="44"/>
      <c r="AM217" s="17"/>
      <c r="AN217" s="5"/>
      <c r="AO217" s="17"/>
      <c r="AP217" s="4"/>
      <c r="AQ217" s="17"/>
      <c r="AR217" s="4"/>
      <c r="AS217" s="17"/>
      <c r="AT217" s="4"/>
      <c r="AU217" s="73"/>
    </row>
    <row r="218" spans="1:47" s="41" customFormat="1" x14ac:dyDescent="0.25">
      <c r="A218" s="91"/>
      <c r="B218" s="91"/>
      <c r="C218" s="91"/>
      <c r="D218" s="91"/>
      <c r="E218" s="104"/>
      <c r="F218" s="98" t="s">
        <v>90</v>
      </c>
      <c r="G218" s="104" t="s">
        <v>46</v>
      </c>
      <c r="H218" s="98" t="s">
        <v>16</v>
      </c>
      <c r="I218" s="104" t="s">
        <v>10</v>
      </c>
      <c r="J218" s="104"/>
      <c r="K218" s="104"/>
      <c r="L218" s="104"/>
      <c r="M218" s="104"/>
      <c r="N218" s="91"/>
      <c r="O218" s="91"/>
      <c r="P218" s="91"/>
      <c r="Q218" s="91"/>
      <c r="R218" s="91"/>
      <c r="S218" s="91"/>
      <c r="T218" s="91"/>
      <c r="U218" s="92"/>
      <c r="V218" s="91"/>
      <c r="W218" s="93"/>
      <c r="X218" s="105"/>
      <c r="Y218" s="125"/>
      <c r="Z218" s="118"/>
      <c r="AA218" s="125"/>
      <c r="AB218" s="118"/>
      <c r="AC218" s="121"/>
      <c r="AD218" s="118"/>
      <c r="AE218" s="121"/>
      <c r="AF218" s="106"/>
      <c r="AG218" s="121"/>
      <c r="AH218" s="119"/>
      <c r="AI218" s="125"/>
      <c r="AJ218" s="119"/>
      <c r="AK218" s="121"/>
      <c r="AL218" s="119"/>
      <c r="AM218" s="121"/>
      <c r="AN218" s="118"/>
      <c r="AO218" s="121"/>
      <c r="AP218" s="122"/>
      <c r="AQ218" s="125"/>
      <c r="AR218" s="122"/>
      <c r="AS218" s="121"/>
      <c r="AT218" s="122"/>
      <c r="AU218" s="137"/>
    </row>
    <row r="219" spans="1:47" s="8" customFormat="1" x14ac:dyDescent="0.25">
      <c r="A219" s="99"/>
      <c r="B219" s="91"/>
      <c r="C219" s="91"/>
      <c r="D219" s="91"/>
      <c r="E219" s="93"/>
      <c r="F219" s="97" t="s">
        <v>90</v>
      </c>
      <c r="G219" s="91" t="s">
        <v>46</v>
      </c>
      <c r="H219" s="98" t="s">
        <v>16</v>
      </c>
      <c r="I219" s="91" t="s">
        <v>11</v>
      </c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2"/>
      <c r="V219" s="91"/>
      <c r="W219" s="93"/>
      <c r="X219" s="94"/>
      <c r="Y219" s="126"/>
      <c r="Z219" s="91"/>
      <c r="AA219" s="126"/>
      <c r="AB219" s="96"/>
      <c r="AC219" s="95"/>
      <c r="AD219" s="96"/>
      <c r="AE219" s="95"/>
      <c r="AF219" s="100"/>
      <c r="AG219" s="95"/>
      <c r="AH219" s="101"/>
      <c r="AI219" s="126"/>
      <c r="AJ219" s="101"/>
      <c r="AK219" s="95"/>
      <c r="AL219" s="101"/>
      <c r="AM219" s="95"/>
      <c r="AN219" s="100"/>
      <c r="AO219" s="95"/>
      <c r="AP219" s="100"/>
      <c r="AQ219" s="126"/>
      <c r="AR219" s="100"/>
      <c r="AS219" s="95"/>
      <c r="AT219" s="100"/>
      <c r="AU219" s="138"/>
    </row>
    <row r="220" spans="1:47" x14ac:dyDescent="0.25">
      <c r="A220" s="21"/>
      <c r="C220" s="9"/>
      <c r="D220" s="10"/>
      <c r="E220" s="10"/>
      <c r="F220" s="8"/>
      <c r="G220" s="8"/>
      <c r="H220" s="8"/>
      <c r="I220" s="9"/>
      <c r="J220" s="9"/>
      <c r="K220" s="9"/>
      <c r="L220" s="9"/>
      <c r="N220" s="9"/>
      <c r="O220" s="9"/>
      <c r="P220" s="9"/>
      <c r="Q220" s="9"/>
      <c r="R220" s="14"/>
      <c r="S220" s="12"/>
      <c r="T220" s="12"/>
      <c r="U220" s="15"/>
      <c r="V220" s="12"/>
      <c r="W220" s="12"/>
      <c r="X220" s="12"/>
      <c r="Y220" s="17"/>
      <c r="Z220" s="52"/>
      <c r="AA220" s="17"/>
      <c r="AB220" s="4"/>
      <c r="AC220" s="17"/>
      <c r="AD220" s="12"/>
      <c r="AE220" s="17"/>
      <c r="AF220" s="12"/>
      <c r="AG220" s="17"/>
      <c r="AH220" s="56"/>
      <c r="AI220" s="17"/>
      <c r="AJ220" s="56"/>
      <c r="AK220" s="17"/>
      <c r="AL220" s="56"/>
      <c r="AM220" s="17"/>
      <c r="AN220" s="14"/>
      <c r="AO220" s="17"/>
      <c r="AP220" s="12"/>
      <c r="AQ220" s="17"/>
      <c r="AR220" s="12"/>
      <c r="AS220" s="17"/>
      <c r="AT220" s="12"/>
    </row>
    <row r="221" spans="1:47" x14ac:dyDescent="0.25">
      <c r="A221" s="21"/>
      <c r="C221" s="9"/>
      <c r="D221" s="10"/>
      <c r="E221" s="10"/>
      <c r="F221" s="97" t="s">
        <v>99</v>
      </c>
      <c r="G221" s="91" t="s">
        <v>46</v>
      </c>
      <c r="H221" s="97" t="s">
        <v>100</v>
      </c>
      <c r="I221" s="9" t="s">
        <v>10</v>
      </c>
      <c r="J221" s="9">
        <v>5000</v>
      </c>
      <c r="K221" s="11">
        <v>0.1</v>
      </c>
      <c r="L221" s="9">
        <f>J221*K221</f>
        <v>500</v>
      </c>
      <c r="M221" s="9">
        <f t="shared" ref="M221:M222" si="719">L221</f>
        <v>500</v>
      </c>
      <c r="N221" s="9"/>
      <c r="O221" s="72">
        <f t="shared" si="666"/>
        <v>500</v>
      </c>
      <c r="P221" s="9"/>
      <c r="Q221" s="9"/>
      <c r="R221" s="91"/>
      <c r="S221" s="91"/>
      <c r="T221" s="91"/>
      <c r="U221" s="92">
        <f>O221-P221-Q221-R221-S221-T221</f>
        <v>500</v>
      </c>
      <c r="V221" s="91">
        <f t="shared" ref="V221" si="720">U221-B221-D221</f>
        <v>500</v>
      </c>
      <c r="W221" s="93"/>
      <c r="X221" s="13">
        <f t="shared" ref="X221:X237" si="721">100%-Y221-AA221-AC221-AE221-AG221-AI221-AK221-AM221-AO221-AQ221</f>
        <v>1.0000000000000037E-2</v>
      </c>
      <c r="Y221" s="17">
        <f t="shared" ref="Y221:Y222" si="722">(99%-AA221-AC221-AE221-AG221-AI221-AK221-AM221-AO221-AQ221)</f>
        <v>0.84</v>
      </c>
      <c r="Z221" s="9">
        <f t="shared" ref="Z221:Z222" si="723">(V221*Y221)+Q221+R221</f>
        <v>420</v>
      </c>
      <c r="AA221" s="17">
        <v>0.15</v>
      </c>
      <c r="AB221" s="5">
        <f t="shared" ref="AB221:AB222" si="724">(V221*AA221)</f>
        <v>75</v>
      </c>
      <c r="AC221" s="67"/>
      <c r="AE221" s="67"/>
      <c r="AU221" s="73">
        <f t="shared" ref="AU221:AU222" si="725">V221*X221</f>
        <v>5.0000000000000187</v>
      </c>
    </row>
    <row r="222" spans="1:47" x14ac:dyDescent="0.25">
      <c r="A222" s="21"/>
      <c r="C222" s="9"/>
      <c r="D222" s="10"/>
      <c r="E222" s="10"/>
      <c r="F222" s="97" t="s">
        <v>99</v>
      </c>
      <c r="G222" s="91" t="s">
        <v>46</v>
      </c>
      <c r="H222" s="97" t="s">
        <v>101</v>
      </c>
      <c r="I222" s="9" t="s">
        <v>10</v>
      </c>
      <c r="J222" s="9">
        <v>5000</v>
      </c>
      <c r="K222" s="11">
        <v>0.1</v>
      </c>
      <c r="L222" s="9">
        <f>J222*K222</f>
        <v>500</v>
      </c>
      <c r="M222" s="9">
        <f t="shared" si="719"/>
        <v>500</v>
      </c>
      <c r="N222" s="9"/>
      <c r="O222" s="72">
        <f t="shared" ref="O222" si="726">M222-N222</f>
        <v>500</v>
      </c>
      <c r="P222" s="9"/>
      <c r="Q222" s="9"/>
      <c r="R222" s="91"/>
      <c r="S222" s="91"/>
      <c r="T222" s="91"/>
      <c r="U222" s="92">
        <f>O222-P222-Q222-R222-S222-T222</f>
        <v>500</v>
      </c>
      <c r="V222" s="91">
        <f t="shared" ref="V222" si="727">U222-B222-D222</f>
        <v>500</v>
      </c>
      <c r="W222" s="93"/>
      <c r="X222" s="13">
        <f t="shared" si="721"/>
        <v>1.0000000000000037E-2</v>
      </c>
      <c r="Y222" s="17">
        <f t="shared" si="722"/>
        <v>0.84</v>
      </c>
      <c r="Z222" s="9">
        <f t="shared" si="723"/>
        <v>420</v>
      </c>
      <c r="AA222" s="17">
        <v>0.15</v>
      </c>
      <c r="AB222" s="5">
        <f t="shared" si="724"/>
        <v>75</v>
      </c>
      <c r="AC222" s="67"/>
      <c r="AE222" s="67"/>
      <c r="AU222" s="73">
        <f t="shared" si="725"/>
        <v>5.0000000000000187</v>
      </c>
    </row>
    <row r="223" spans="1:47" x14ac:dyDescent="0.25">
      <c r="A223" s="21"/>
      <c r="C223" s="9"/>
      <c r="D223" s="10"/>
      <c r="E223" s="10"/>
      <c r="F223" s="8"/>
      <c r="G223" s="8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14"/>
      <c r="S223" s="12"/>
      <c r="T223" s="12"/>
      <c r="U223" s="15"/>
      <c r="V223" s="12"/>
      <c r="W223" s="12"/>
      <c r="X223" s="12"/>
      <c r="Y223" s="17"/>
      <c r="Z223" s="52"/>
      <c r="AA223" s="17"/>
      <c r="AB223" s="4"/>
      <c r="AC223" s="17"/>
      <c r="AD223" s="12"/>
      <c r="AE223" s="17"/>
      <c r="AF223" s="12"/>
      <c r="AG223" s="17"/>
      <c r="AH223" s="56"/>
      <c r="AI223" s="17"/>
      <c r="AJ223" s="56"/>
      <c r="AK223" s="17"/>
      <c r="AL223" s="56"/>
      <c r="AM223" s="17"/>
      <c r="AN223" s="12"/>
      <c r="AO223" s="17"/>
      <c r="AP223" s="12"/>
      <c r="AQ223" s="17"/>
      <c r="AR223" s="12"/>
      <c r="AS223" s="17"/>
      <c r="AT223" s="12"/>
    </row>
    <row r="224" spans="1:47" x14ac:dyDescent="0.25">
      <c r="A224" s="21"/>
      <c r="C224" s="9"/>
      <c r="D224" s="10"/>
      <c r="E224" s="10"/>
      <c r="F224" s="93" t="s">
        <v>175</v>
      </c>
      <c r="G224" s="91" t="s">
        <v>46</v>
      </c>
      <c r="H224" s="97" t="s">
        <v>176</v>
      </c>
      <c r="I224" s="9" t="s">
        <v>11</v>
      </c>
      <c r="J224" s="9">
        <v>450</v>
      </c>
      <c r="K224" s="11">
        <v>0.1</v>
      </c>
      <c r="L224" s="9">
        <f>J224*K224</f>
        <v>45</v>
      </c>
      <c r="M224" s="9"/>
      <c r="N224" s="9"/>
      <c r="O224" s="72">
        <f t="shared" ref="O224:O226" si="728">M224-N224</f>
        <v>0</v>
      </c>
      <c r="P224" s="9"/>
      <c r="Q224" s="9"/>
      <c r="R224" s="91"/>
      <c r="S224" s="91"/>
      <c r="T224" s="91"/>
      <c r="U224" s="92">
        <f t="shared" ref="U224:U226" si="729">O224-P224-Q224-R224-S224-T224</f>
        <v>0</v>
      </c>
      <c r="V224" s="91">
        <f t="shared" ref="V224:V226" si="730">U224-B224-D224</f>
        <v>0</v>
      </c>
      <c r="W224" s="93"/>
      <c r="X224" s="13">
        <f t="shared" si="721"/>
        <v>1.0000000000000037E-2</v>
      </c>
      <c r="Y224" s="17">
        <f t="shared" ref="Y224:Y226" si="731">(99%-AA224-AC224-AE224-AG224-AI224-AK224-AM224-AO224-AQ224)</f>
        <v>0.84</v>
      </c>
      <c r="Z224" s="65">
        <f t="shared" ref="Z224:Z226" si="732">(V224*Y224)+Q224+R224</f>
        <v>0</v>
      </c>
      <c r="AA224" s="17">
        <v>0.15</v>
      </c>
      <c r="AB224" s="9">
        <f t="shared" ref="AB224:AB226" si="733">(V224*AA224)</f>
        <v>0</v>
      </c>
      <c r="AC224" s="17"/>
      <c r="AD224" s="5"/>
      <c r="AE224" s="17"/>
      <c r="AG224" s="18"/>
      <c r="AH224" s="44"/>
      <c r="AJ224" s="44"/>
      <c r="AK224" s="18"/>
      <c r="AL224" s="44"/>
      <c r="AM224" s="18"/>
      <c r="AN224" s="5"/>
      <c r="AO224" s="18"/>
      <c r="AP224" s="5"/>
      <c r="AR224" s="5"/>
      <c r="AS224" s="18"/>
      <c r="AT224" s="5"/>
      <c r="AU224" s="73">
        <f t="shared" ref="AU224:AU226" si="734">V224*X224</f>
        <v>0</v>
      </c>
    </row>
    <row r="225" spans="1:47" x14ac:dyDescent="0.25">
      <c r="A225" s="21"/>
      <c r="C225" s="9"/>
      <c r="D225" s="10"/>
      <c r="E225" s="10"/>
      <c r="F225" s="93" t="s">
        <v>175</v>
      </c>
      <c r="G225" s="91" t="s">
        <v>46</v>
      </c>
      <c r="H225" s="97" t="s">
        <v>177</v>
      </c>
      <c r="I225" s="9" t="s">
        <v>11</v>
      </c>
      <c r="J225" s="9">
        <v>900</v>
      </c>
      <c r="K225" s="11">
        <v>0.1</v>
      </c>
      <c r="L225" s="9">
        <f>J225*K225</f>
        <v>90</v>
      </c>
      <c r="M225" s="9"/>
      <c r="N225" s="9"/>
      <c r="O225" s="72">
        <f t="shared" si="728"/>
        <v>0</v>
      </c>
      <c r="P225" s="9"/>
      <c r="Q225" s="9"/>
      <c r="R225" s="91"/>
      <c r="S225" s="91"/>
      <c r="T225" s="91"/>
      <c r="U225" s="92">
        <f t="shared" si="729"/>
        <v>0</v>
      </c>
      <c r="V225" s="91">
        <f t="shared" si="730"/>
        <v>0</v>
      </c>
      <c r="W225" s="93"/>
      <c r="X225" s="13">
        <f t="shared" si="721"/>
        <v>1.0000000000000037E-2</v>
      </c>
      <c r="Y225" s="17">
        <f t="shared" si="731"/>
        <v>0.84</v>
      </c>
      <c r="Z225" s="65">
        <f t="shared" si="732"/>
        <v>0</v>
      </c>
      <c r="AA225" s="17">
        <v>0.15</v>
      </c>
      <c r="AB225" s="9">
        <f t="shared" si="733"/>
        <v>0</v>
      </c>
      <c r="AC225" s="17"/>
      <c r="AD225" s="5"/>
      <c r="AE225" s="17"/>
      <c r="AG225" s="18"/>
      <c r="AH225" s="44"/>
      <c r="AJ225" s="44"/>
      <c r="AK225" s="18"/>
      <c r="AL225" s="44"/>
      <c r="AM225" s="18"/>
      <c r="AN225" s="5"/>
      <c r="AO225" s="18"/>
      <c r="AP225" s="5"/>
      <c r="AR225" s="5"/>
      <c r="AS225" s="18"/>
      <c r="AT225" s="5"/>
      <c r="AU225" s="73">
        <f t="shared" si="734"/>
        <v>0</v>
      </c>
    </row>
    <row r="226" spans="1:47" x14ac:dyDescent="0.25">
      <c r="A226" s="21"/>
      <c r="C226" s="9"/>
      <c r="D226" s="10"/>
      <c r="E226" s="10"/>
      <c r="F226" s="93" t="s">
        <v>175</v>
      </c>
      <c r="G226" s="91" t="s">
        <v>46</v>
      </c>
      <c r="H226" s="97" t="s">
        <v>178</v>
      </c>
      <c r="I226" s="9" t="s">
        <v>11</v>
      </c>
      <c r="J226" s="9"/>
      <c r="K226" s="11">
        <v>0.1</v>
      </c>
      <c r="L226" s="9">
        <f>J226*K226</f>
        <v>0</v>
      </c>
      <c r="M226" s="9"/>
      <c r="N226" s="9"/>
      <c r="O226" s="72">
        <f t="shared" si="728"/>
        <v>0</v>
      </c>
      <c r="P226" s="9"/>
      <c r="Q226" s="9"/>
      <c r="R226" s="91"/>
      <c r="S226" s="91"/>
      <c r="T226" s="91"/>
      <c r="U226" s="92">
        <f t="shared" si="729"/>
        <v>0</v>
      </c>
      <c r="V226" s="91">
        <f t="shared" si="730"/>
        <v>0</v>
      </c>
      <c r="W226" s="93"/>
      <c r="X226" s="13">
        <f t="shared" si="721"/>
        <v>1.0000000000000037E-2</v>
      </c>
      <c r="Y226" s="17">
        <f t="shared" si="731"/>
        <v>0.84</v>
      </c>
      <c r="Z226" s="65">
        <f t="shared" si="732"/>
        <v>0</v>
      </c>
      <c r="AA226" s="17">
        <v>0.15</v>
      </c>
      <c r="AB226" s="9">
        <f t="shared" si="733"/>
        <v>0</v>
      </c>
      <c r="AC226" s="17"/>
      <c r="AD226" s="5"/>
      <c r="AE226" s="17"/>
      <c r="AG226" s="18"/>
      <c r="AH226" s="44"/>
      <c r="AJ226" s="44"/>
      <c r="AK226" s="18"/>
      <c r="AL226" s="44"/>
      <c r="AM226" s="18"/>
      <c r="AN226" s="5"/>
      <c r="AO226" s="18"/>
      <c r="AP226" s="5"/>
      <c r="AR226" s="5"/>
      <c r="AS226" s="18"/>
      <c r="AT226" s="5"/>
      <c r="AU226" s="73">
        <f t="shared" si="734"/>
        <v>0</v>
      </c>
    </row>
    <row r="227" spans="1:47" x14ac:dyDescent="0.25">
      <c r="A227" s="9"/>
      <c r="C227" s="9"/>
      <c r="D227" s="9"/>
      <c r="E227" s="9"/>
      <c r="F227" s="8"/>
      <c r="G227" s="8"/>
      <c r="H227" s="8"/>
      <c r="I227" s="9"/>
      <c r="J227" s="9"/>
      <c r="K227" s="9"/>
      <c r="L227" s="9"/>
      <c r="N227" s="9"/>
      <c r="O227" s="9"/>
      <c r="P227" s="9"/>
      <c r="Q227" s="9"/>
      <c r="R227" s="14"/>
      <c r="S227" s="10"/>
      <c r="T227" s="10"/>
      <c r="U227" s="16"/>
      <c r="V227" s="10"/>
      <c r="W227" s="16"/>
      <c r="X227" s="16"/>
      <c r="Y227" s="17"/>
      <c r="Z227" s="52"/>
      <c r="AA227" s="17"/>
      <c r="AB227" s="4"/>
      <c r="AC227" s="67"/>
      <c r="AD227" s="10"/>
      <c r="AE227" s="67"/>
      <c r="AF227" s="10"/>
      <c r="AG227" s="67"/>
      <c r="AI227" s="48"/>
      <c r="AK227" s="67"/>
      <c r="AM227" s="67"/>
      <c r="AN227" s="10"/>
      <c r="AO227" s="67"/>
      <c r="AP227" s="10"/>
      <c r="AQ227" s="17"/>
      <c r="AR227" s="10"/>
      <c r="AS227" s="67"/>
      <c r="AT227" s="10"/>
    </row>
    <row r="228" spans="1:47" x14ac:dyDescent="0.25">
      <c r="A228" s="21"/>
      <c r="C228" s="9"/>
      <c r="D228" s="10"/>
      <c r="E228" s="10"/>
      <c r="F228" s="91" t="s">
        <v>46</v>
      </c>
      <c r="G228" s="93" t="s">
        <v>102</v>
      </c>
      <c r="H228" s="97" t="s">
        <v>103</v>
      </c>
      <c r="I228" s="9" t="s">
        <v>9</v>
      </c>
      <c r="J228" s="5">
        <f>30*12</f>
        <v>360</v>
      </c>
      <c r="K228" s="85">
        <v>0.1</v>
      </c>
      <c r="L228" s="9">
        <f t="shared" ref="L228:L235" si="735">J228*K228</f>
        <v>36</v>
      </c>
      <c r="M228" s="9">
        <f t="shared" ref="M228:M231" si="736">L228</f>
        <v>36</v>
      </c>
      <c r="N228" s="9"/>
      <c r="O228" s="72">
        <f t="shared" ref="O228:O237" si="737">M228-N228</f>
        <v>36</v>
      </c>
      <c r="P228" s="9"/>
      <c r="Q228" s="9"/>
      <c r="R228" s="109"/>
      <c r="S228" s="109"/>
      <c r="T228" s="109"/>
      <c r="U228" s="92">
        <f t="shared" ref="U228:U237" si="738">O228-P228-Q228-R228-S228-T228</f>
        <v>36</v>
      </c>
      <c r="V228" s="91">
        <f t="shared" ref="V228:V237" si="739">U228-B228-D228</f>
        <v>36</v>
      </c>
      <c r="W228" s="93"/>
      <c r="X228" s="13">
        <f t="shared" si="721"/>
        <v>1.0000000000000051E-2</v>
      </c>
      <c r="Y228" s="17">
        <f t="shared" ref="Y228:Y237" si="740">(99%-AA228-AC228-AE228-AG228-AI228-AK228-AM228-AO228-AQ228)</f>
        <v>0.94</v>
      </c>
      <c r="Z228" s="65">
        <f t="shared" ref="Z228:Z237" si="741">(V228*Y228)+Q228+R228</f>
        <v>33.839999999999996</v>
      </c>
      <c r="AA228" s="17">
        <v>0.05</v>
      </c>
      <c r="AB228" s="9">
        <f t="shared" ref="AB228:AB237" si="742">(V228*AA228)</f>
        <v>1.8</v>
      </c>
      <c r="AC228" s="17"/>
      <c r="AD228" s="5"/>
      <c r="AE228" s="17"/>
      <c r="AG228" s="18"/>
      <c r="AH228" s="44"/>
      <c r="AJ228" s="44"/>
      <c r="AK228" s="18"/>
      <c r="AL228" s="44"/>
      <c r="AM228" s="18"/>
      <c r="AN228" s="5"/>
      <c r="AO228" s="18"/>
      <c r="AP228" s="5"/>
      <c r="AR228" s="5"/>
      <c r="AS228" s="18"/>
      <c r="AT228" s="5"/>
      <c r="AU228" s="73">
        <f t="shared" ref="AU228:AU237" si="743">V228*X228</f>
        <v>0.36000000000000182</v>
      </c>
    </row>
    <row r="229" spans="1:47" x14ac:dyDescent="0.25">
      <c r="A229" s="21"/>
      <c r="C229" s="9"/>
      <c r="D229" s="10"/>
      <c r="E229" s="10"/>
      <c r="F229" s="91" t="s">
        <v>46</v>
      </c>
      <c r="G229" s="93" t="s">
        <v>102</v>
      </c>
      <c r="H229" s="97" t="s">
        <v>105</v>
      </c>
      <c r="I229" s="9" t="s">
        <v>9</v>
      </c>
      <c r="J229" s="5">
        <v>500</v>
      </c>
      <c r="K229" s="85">
        <v>0.1</v>
      </c>
      <c r="L229" s="9">
        <f t="shared" si="735"/>
        <v>50</v>
      </c>
      <c r="M229" s="9">
        <f t="shared" si="736"/>
        <v>50</v>
      </c>
      <c r="N229" s="9"/>
      <c r="O229" s="72">
        <f t="shared" si="737"/>
        <v>50</v>
      </c>
      <c r="P229" s="9"/>
      <c r="Q229" s="9"/>
      <c r="R229" s="109"/>
      <c r="S229" s="109"/>
      <c r="T229" s="109"/>
      <c r="U229" s="92">
        <f t="shared" si="738"/>
        <v>50</v>
      </c>
      <c r="V229" s="91">
        <f t="shared" si="739"/>
        <v>50</v>
      </c>
      <c r="W229" s="93"/>
      <c r="X229" s="13">
        <f t="shared" si="721"/>
        <v>1.0000000000000051E-2</v>
      </c>
      <c r="Y229" s="17">
        <f t="shared" si="740"/>
        <v>0.94</v>
      </c>
      <c r="Z229" s="65">
        <f t="shared" si="741"/>
        <v>47</v>
      </c>
      <c r="AA229" s="17">
        <v>0.05</v>
      </c>
      <c r="AB229" s="9">
        <f t="shared" si="742"/>
        <v>2.5</v>
      </c>
      <c r="AC229" s="17"/>
      <c r="AD229" s="5"/>
      <c r="AE229" s="17"/>
      <c r="AG229" s="18"/>
      <c r="AH229" s="44"/>
      <c r="AJ229" s="44"/>
      <c r="AK229" s="18"/>
      <c r="AL229" s="44"/>
      <c r="AM229" s="18"/>
      <c r="AN229" s="5"/>
      <c r="AO229" s="18"/>
      <c r="AP229" s="5"/>
      <c r="AR229" s="5"/>
      <c r="AS229" s="18"/>
      <c r="AT229" s="5"/>
      <c r="AU229" s="73">
        <f t="shared" si="743"/>
        <v>0.50000000000000255</v>
      </c>
    </row>
    <row r="230" spans="1:47" x14ac:dyDescent="0.25">
      <c r="A230" s="21"/>
      <c r="C230" s="9"/>
      <c r="D230" s="10"/>
      <c r="E230" s="10"/>
      <c r="F230" s="91" t="s">
        <v>46</v>
      </c>
      <c r="G230" s="93" t="s">
        <v>102</v>
      </c>
      <c r="H230" s="97" t="s">
        <v>104</v>
      </c>
      <c r="I230" s="9" t="s">
        <v>9</v>
      </c>
      <c r="J230" s="5">
        <v>500</v>
      </c>
      <c r="K230" s="85">
        <v>0.1</v>
      </c>
      <c r="L230" s="9">
        <f t="shared" si="735"/>
        <v>50</v>
      </c>
      <c r="M230" s="9">
        <f t="shared" si="736"/>
        <v>50</v>
      </c>
      <c r="N230" s="9"/>
      <c r="O230" s="72">
        <f t="shared" si="737"/>
        <v>50</v>
      </c>
      <c r="P230" s="9"/>
      <c r="Q230" s="9"/>
      <c r="R230" s="109"/>
      <c r="S230" s="109"/>
      <c r="T230" s="109"/>
      <c r="U230" s="92">
        <f t="shared" si="738"/>
        <v>50</v>
      </c>
      <c r="V230" s="91">
        <f t="shared" si="739"/>
        <v>50</v>
      </c>
      <c r="W230" s="93"/>
      <c r="X230" s="13">
        <f t="shared" si="721"/>
        <v>1.0000000000000051E-2</v>
      </c>
      <c r="Y230" s="17">
        <f t="shared" si="740"/>
        <v>0.94</v>
      </c>
      <c r="Z230" s="65">
        <f t="shared" si="741"/>
        <v>47</v>
      </c>
      <c r="AA230" s="17">
        <v>0.05</v>
      </c>
      <c r="AB230" s="9">
        <f t="shared" si="742"/>
        <v>2.5</v>
      </c>
      <c r="AC230" s="17"/>
      <c r="AD230" s="5"/>
      <c r="AE230" s="17"/>
      <c r="AG230" s="18"/>
      <c r="AH230" s="44"/>
      <c r="AJ230" s="44"/>
      <c r="AK230" s="18"/>
      <c r="AL230" s="44"/>
      <c r="AM230" s="18"/>
      <c r="AN230" s="5"/>
      <c r="AO230" s="18"/>
      <c r="AP230" s="5"/>
      <c r="AR230" s="5"/>
      <c r="AS230" s="18"/>
      <c r="AT230" s="5"/>
      <c r="AU230" s="73">
        <f t="shared" si="743"/>
        <v>0.50000000000000255</v>
      </c>
    </row>
    <row r="231" spans="1:47" x14ac:dyDescent="0.25">
      <c r="A231" s="21"/>
      <c r="C231" s="9"/>
      <c r="D231" s="10"/>
      <c r="E231" s="10"/>
      <c r="F231" s="91" t="s">
        <v>46</v>
      </c>
      <c r="G231" s="93" t="s">
        <v>102</v>
      </c>
      <c r="H231" s="97" t="s">
        <v>106</v>
      </c>
      <c r="I231" s="9" t="s">
        <v>9</v>
      </c>
      <c r="J231" s="5">
        <v>4200</v>
      </c>
      <c r="K231" s="85">
        <v>0.1</v>
      </c>
      <c r="L231" s="9">
        <f t="shared" si="735"/>
        <v>420</v>
      </c>
      <c r="M231" s="9">
        <f t="shared" si="736"/>
        <v>420</v>
      </c>
      <c r="N231" s="9"/>
      <c r="O231" s="72">
        <f t="shared" si="737"/>
        <v>420</v>
      </c>
      <c r="P231" s="9"/>
      <c r="Q231" s="9"/>
      <c r="R231" s="109"/>
      <c r="S231" s="109"/>
      <c r="T231" s="109"/>
      <c r="U231" s="92">
        <f t="shared" si="738"/>
        <v>420</v>
      </c>
      <c r="V231" s="91">
        <f t="shared" si="739"/>
        <v>420</v>
      </c>
      <c r="W231" s="93"/>
      <c r="X231" s="13">
        <f t="shared" si="721"/>
        <v>1.0000000000000051E-2</v>
      </c>
      <c r="Y231" s="17">
        <f t="shared" si="740"/>
        <v>0.94</v>
      </c>
      <c r="Z231" s="65">
        <f t="shared" si="741"/>
        <v>394.79999999999995</v>
      </c>
      <c r="AA231" s="17">
        <v>0.05</v>
      </c>
      <c r="AB231" s="9">
        <f t="shared" si="742"/>
        <v>21</v>
      </c>
      <c r="AC231" s="17"/>
      <c r="AD231" s="5"/>
      <c r="AE231" s="17"/>
      <c r="AG231" s="18"/>
      <c r="AH231" s="44"/>
      <c r="AJ231" s="44"/>
      <c r="AK231" s="18"/>
      <c r="AL231" s="44"/>
      <c r="AM231" s="18"/>
      <c r="AN231" s="5"/>
      <c r="AO231" s="18"/>
      <c r="AP231" s="5"/>
      <c r="AR231" s="5"/>
      <c r="AS231" s="18"/>
      <c r="AT231" s="5"/>
      <c r="AU231" s="73">
        <f t="shared" si="743"/>
        <v>4.2000000000000215</v>
      </c>
    </row>
    <row r="232" spans="1:47" x14ac:dyDescent="0.25">
      <c r="A232" s="21"/>
      <c r="C232" s="9"/>
      <c r="D232" s="10"/>
      <c r="E232" s="10"/>
      <c r="F232" s="91" t="s">
        <v>46</v>
      </c>
      <c r="G232" s="93" t="s">
        <v>102</v>
      </c>
      <c r="H232" s="97" t="s">
        <v>121</v>
      </c>
      <c r="I232" s="9" t="s">
        <v>11</v>
      </c>
      <c r="J232" s="5">
        <v>1000</v>
      </c>
      <c r="K232" s="85">
        <v>0.1</v>
      </c>
      <c r="L232" s="9">
        <f t="shared" si="735"/>
        <v>100</v>
      </c>
      <c r="M232" s="9"/>
      <c r="N232" s="9"/>
      <c r="O232" s="72">
        <f t="shared" si="737"/>
        <v>0</v>
      </c>
      <c r="P232" s="9"/>
      <c r="Q232" s="9"/>
      <c r="R232" s="109"/>
      <c r="S232" s="109"/>
      <c r="T232" s="109"/>
      <c r="U232" s="92">
        <f t="shared" si="738"/>
        <v>0</v>
      </c>
      <c r="V232" s="91">
        <f t="shared" si="739"/>
        <v>0</v>
      </c>
      <c r="W232" s="93"/>
      <c r="X232" s="13">
        <f t="shared" si="721"/>
        <v>1.0000000000000037E-2</v>
      </c>
      <c r="Y232" s="17">
        <f t="shared" si="740"/>
        <v>0.84</v>
      </c>
      <c r="Z232" s="65">
        <f t="shared" si="741"/>
        <v>0</v>
      </c>
      <c r="AA232" s="17">
        <v>0.15</v>
      </c>
      <c r="AB232" s="9">
        <f t="shared" si="742"/>
        <v>0</v>
      </c>
      <c r="AC232" s="17"/>
      <c r="AD232" s="5"/>
      <c r="AE232" s="17"/>
      <c r="AG232" s="18"/>
      <c r="AH232" s="44"/>
      <c r="AJ232" s="44"/>
      <c r="AK232" s="18"/>
      <c r="AL232" s="44"/>
      <c r="AM232" s="18"/>
      <c r="AN232" s="5"/>
      <c r="AO232" s="18"/>
      <c r="AP232" s="5"/>
      <c r="AR232" s="5"/>
      <c r="AS232" s="18"/>
      <c r="AT232" s="5"/>
      <c r="AU232" s="73">
        <f t="shared" si="743"/>
        <v>0</v>
      </c>
    </row>
    <row r="233" spans="1:47" x14ac:dyDescent="0.25">
      <c r="A233" s="21"/>
      <c r="C233" s="9"/>
      <c r="D233" s="10"/>
      <c r="E233" s="10"/>
      <c r="F233" s="91" t="s">
        <v>46</v>
      </c>
      <c r="G233" s="93" t="s">
        <v>102</v>
      </c>
      <c r="H233" s="97" t="s">
        <v>122</v>
      </c>
      <c r="I233" s="9" t="s">
        <v>11</v>
      </c>
      <c r="J233" s="5">
        <v>500</v>
      </c>
      <c r="K233" s="85">
        <v>0.1</v>
      </c>
      <c r="L233" s="9">
        <f t="shared" si="735"/>
        <v>50</v>
      </c>
      <c r="M233" s="9"/>
      <c r="N233" s="9"/>
      <c r="O233" s="72">
        <f t="shared" si="737"/>
        <v>0</v>
      </c>
      <c r="P233" s="9"/>
      <c r="Q233" s="9"/>
      <c r="R233" s="109"/>
      <c r="S233" s="109"/>
      <c r="T233" s="109"/>
      <c r="U233" s="92">
        <f t="shared" si="738"/>
        <v>0</v>
      </c>
      <c r="V233" s="91">
        <f t="shared" si="739"/>
        <v>0</v>
      </c>
      <c r="W233" s="93"/>
      <c r="X233" s="13">
        <f t="shared" si="721"/>
        <v>1.0000000000000037E-2</v>
      </c>
      <c r="Y233" s="17">
        <f t="shared" si="740"/>
        <v>0.84</v>
      </c>
      <c r="Z233" s="65">
        <f t="shared" si="741"/>
        <v>0</v>
      </c>
      <c r="AA233" s="17">
        <v>0.15</v>
      </c>
      <c r="AB233" s="9">
        <f t="shared" si="742"/>
        <v>0</v>
      </c>
      <c r="AC233" s="17"/>
      <c r="AD233" s="5"/>
      <c r="AE233" s="17"/>
      <c r="AG233" s="18"/>
      <c r="AH233" s="44"/>
      <c r="AJ233" s="44"/>
      <c r="AK233" s="18"/>
      <c r="AL233" s="44"/>
      <c r="AM233" s="18"/>
      <c r="AN233" s="5"/>
      <c r="AO233" s="18"/>
      <c r="AP233" s="5"/>
      <c r="AR233" s="5"/>
      <c r="AS233" s="18"/>
      <c r="AT233" s="5"/>
      <c r="AU233" s="73">
        <f t="shared" si="743"/>
        <v>0</v>
      </c>
    </row>
    <row r="234" spans="1:47" x14ac:dyDescent="0.25">
      <c r="A234" s="21"/>
      <c r="C234" s="9"/>
      <c r="D234" s="10"/>
      <c r="E234" s="10"/>
      <c r="F234" s="91" t="s">
        <v>46</v>
      </c>
      <c r="G234" s="93" t="s">
        <v>102</v>
      </c>
      <c r="H234" s="97" t="s">
        <v>181</v>
      </c>
      <c r="I234" s="9" t="s">
        <v>11</v>
      </c>
      <c r="J234" s="5">
        <f>30*12</f>
        <v>360</v>
      </c>
      <c r="K234" s="85">
        <v>0.1</v>
      </c>
      <c r="L234" s="9">
        <f t="shared" si="735"/>
        <v>36</v>
      </c>
      <c r="M234" s="9"/>
      <c r="N234" s="9"/>
      <c r="O234" s="72">
        <f t="shared" si="737"/>
        <v>0</v>
      </c>
      <c r="P234" s="9"/>
      <c r="Q234" s="9"/>
      <c r="R234" s="109"/>
      <c r="S234" s="109"/>
      <c r="T234" s="109"/>
      <c r="U234" s="92">
        <f t="shared" si="738"/>
        <v>0</v>
      </c>
      <c r="V234" s="91">
        <f t="shared" si="739"/>
        <v>0</v>
      </c>
      <c r="W234" s="93"/>
      <c r="X234" s="13">
        <f t="shared" si="721"/>
        <v>1.0000000000000037E-2</v>
      </c>
      <c r="Y234" s="17">
        <f t="shared" si="740"/>
        <v>0.84</v>
      </c>
      <c r="Z234" s="65">
        <f t="shared" si="741"/>
        <v>0</v>
      </c>
      <c r="AA234" s="17">
        <v>0.15</v>
      </c>
      <c r="AB234" s="9">
        <f t="shared" si="742"/>
        <v>0</v>
      </c>
      <c r="AC234" s="17"/>
      <c r="AD234" s="5"/>
      <c r="AE234" s="17"/>
      <c r="AG234" s="18"/>
      <c r="AH234" s="44"/>
      <c r="AJ234" s="44"/>
      <c r="AK234" s="18"/>
      <c r="AL234" s="44"/>
      <c r="AM234" s="18"/>
      <c r="AN234" s="5"/>
      <c r="AO234" s="18"/>
      <c r="AP234" s="5"/>
      <c r="AR234" s="5"/>
      <c r="AS234" s="18"/>
      <c r="AT234" s="5"/>
      <c r="AU234" s="73">
        <f t="shared" si="743"/>
        <v>0</v>
      </c>
    </row>
    <row r="235" spans="1:47" x14ac:dyDescent="0.25">
      <c r="A235" s="21"/>
      <c r="C235" s="9"/>
      <c r="D235" s="10"/>
      <c r="E235" s="10"/>
      <c r="F235" s="91" t="s">
        <v>46</v>
      </c>
      <c r="G235" s="93" t="s">
        <v>102</v>
      </c>
      <c r="H235" s="97" t="s">
        <v>182</v>
      </c>
      <c r="I235" s="9" t="s">
        <v>11</v>
      </c>
      <c r="J235" s="5">
        <v>100</v>
      </c>
      <c r="K235" s="85">
        <v>0.1</v>
      </c>
      <c r="L235" s="9">
        <f t="shared" si="735"/>
        <v>10</v>
      </c>
      <c r="M235" s="9"/>
      <c r="N235" s="9"/>
      <c r="O235" s="72">
        <f t="shared" si="737"/>
        <v>0</v>
      </c>
      <c r="P235" s="9"/>
      <c r="Q235" s="9"/>
      <c r="R235" s="109"/>
      <c r="S235" s="109"/>
      <c r="T235" s="109"/>
      <c r="U235" s="92">
        <f t="shared" si="738"/>
        <v>0</v>
      </c>
      <c r="V235" s="91">
        <f t="shared" si="739"/>
        <v>0</v>
      </c>
      <c r="W235" s="93"/>
      <c r="X235" s="13">
        <f t="shared" si="721"/>
        <v>1.0000000000000037E-2</v>
      </c>
      <c r="Y235" s="17">
        <f t="shared" si="740"/>
        <v>0.84</v>
      </c>
      <c r="Z235" s="65">
        <f t="shared" si="741"/>
        <v>0</v>
      </c>
      <c r="AA235" s="17">
        <v>0.15</v>
      </c>
      <c r="AB235" s="9">
        <f t="shared" si="742"/>
        <v>0</v>
      </c>
      <c r="AC235" s="17"/>
      <c r="AD235" s="5"/>
      <c r="AE235" s="17"/>
      <c r="AG235" s="18"/>
      <c r="AH235" s="44"/>
      <c r="AJ235" s="44"/>
      <c r="AK235" s="18"/>
      <c r="AL235" s="44"/>
      <c r="AM235" s="18"/>
      <c r="AN235" s="5"/>
      <c r="AO235" s="18"/>
      <c r="AP235" s="5"/>
      <c r="AR235" s="5"/>
      <c r="AS235" s="18"/>
      <c r="AT235" s="5"/>
      <c r="AU235" s="73">
        <f t="shared" si="743"/>
        <v>0</v>
      </c>
    </row>
    <row r="236" spans="1:47" x14ac:dyDescent="0.25">
      <c r="A236" s="21"/>
      <c r="C236" s="9"/>
      <c r="D236" s="10"/>
      <c r="E236" s="10"/>
      <c r="F236" s="91" t="s">
        <v>46</v>
      </c>
      <c r="G236" s="93" t="s">
        <v>102</v>
      </c>
      <c r="H236" s="97" t="s">
        <v>123</v>
      </c>
      <c r="I236" s="42" t="s">
        <v>11</v>
      </c>
      <c r="J236" s="42">
        <v>2400</v>
      </c>
      <c r="K236" s="42"/>
      <c r="L236" s="9"/>
      <c r="M236" s="9"/>
      <c r="N236" s="9"/>
      <c r="O236" s="72">
        <f t="shared" si="737"/>
        <v>0</v>
      </c>
      <c r="P236" s="9"/>
      <c r="Q236" s="9"/>
      <c r="R236" s="109"/>
      <c r="S236" s="109"/>
      <c r="T236" s="109"/>
      <c r="U236" s="92">
        <f t="shared" si="738"/>
        <v>0</v>
      </c>
      <c r="V236" s="91">
        <f t="shared" si="739"/>
        <v>0</v>
      </c>
      <c r="W236" s="93"/>
      <c r="X236" s="13">
        <f t="shared" si="721"/>
        <v>1.0000000000000037E-2</v>
      </c>
      <c r="Y236" s="17">
        <f t="shared" si="740"/>
        <v>0.84</v>
      </c>
      <c r="Z236" s="65">
        <f t="shared" si="741"/>
        <v>0</v>
      </c>
      <c r="AA236" s="17">
        <v>0.15</v>
      </c>
      <c r="AB236" s="9">
        <f t="shared" si="742"/>
        <v>0</v>
      </c>
      <c r="AC236" s="17"/>
      <c r="AD236" s="5"/>
      <c r="AE236" s="17"/>
      <c r="AG236" s="18"/>
      <c r="AH236" s="44"/>
      <c r="AJ236" s="44"/>
      <c r="AK236" s="18"/>
      <c r="AL236" s="44"/>
      <c r="AM236" s="18"/>
      <c r="AN236" s="5"/>
      <c r="AO236" s="18"/>
      <c r="AP236" s="5"/>
      <c r="AR236" s="5"/>
      <c r="AS236" s="18"/>
      <c r="AT236" s="5"/>
      <c r="AU236" s="73">
        <f t="shared" si="743"/>
        <v>0</v>
      </c>
    </row>
    <row r="237" spans="1:47" x14ac:dyDescent="0.25">
      <c r="A237" s="21"/>
      <c r="C237" s="9"/>
      <c r="D237" s="10"/>
      <c r="E237" s="10"/>
      <c r="F237" s="91" t="s">
        <v>46</v>
      </c>
      <c r="G237" s="93" t="s">
        <v>102</v>
      </c>
      <c r="H237" s="97" t="s">
        <v>139</v>
      </c>
      <c r="I237" s="42" t="s">
        <v>11</v>
      </c>
      <c r="J237" s="42"/>
      <c r="K237" s="42"/>
      <c r="L237" s="42">
        <f>2000*10%</f>
        <v>200</v>
      </c>
      <c r="M237" s="9"/>
      <c r="N237" s="9"/>
      <c r="O237" s="72">
        <f t="shared" si="737"/>
        <v>0</v>
      </c>
      <c r="P237" s="9"/>
      <c r="Q237" s="9"/>
      <c r="R237" s="109"/>
      <c r="S237" s="109"/>
      <c r="T237" s="109"/>
      <c r="U237" s="92">
        <f t="shared" si="738"/>
        <v>0</v>
      </c>
      <c r="V237" s="91">
        <f t="shared" si="739"/>
        <v>0</v>
      </c>
      <c r="W237" s="93"/>
      <c r="X237" s="13">
        <f t="shared" si="721"/>
        <v>1.0000000000000037E-2</v>
      </c>
      <c r="Y237" s="17">
        <f t="shared" si="740"/>
        <v>0.84</v>
      </c>
      <c r="Z237" s="65">
        <f t="shared" si="741"/>
        <v>0</v>
      </c>
      <c r="AA237" s="17">
        <v>0.15</v>
      </c>
      <c r="AB237" s="9">
        <f t="shared" si="742"/>
        <v>0</v>
      </c>
      <c r="AC237" s="17"/>
      <c r="AD237" s="5"/>
      <c r="AE237" s="17"/>
      <c r="AG237" s="18"/>
      <c r="AH237" s="44"/>
      <c r="AJ237" s="44"/>
      <c r="AK237" s="18"/>
      <c r="AL237" s="44"/>
      <c r="AM237" s="18"/>
      <c r="AN237" s="5"/>
      <c r="AO237" s="18"/>
      <c r="AP237" s="5"/>
      <c r="AR237" s="5"/>
      <c r="AS237" s="18"/>
      <c r="AT237" s="5"/>
      <c r="AU237" s="73">
        <f t="shared" si="743"/>
        <v>0</v>
      </c>
    </row>
    <row r="238" spans="1:47" x14ac:dyDescent="0.25">
      <c r="A238" s="21"/>
      <c r="C238" s="9"/>
      <c r="D238" s="10"/>
      <c r="E238" s="10"/>
      <c r="F238" s="8"/>
      <c r="G238" s="8"/>
      <c r="H238" s="8"/>
      <c r="I238" s="9"/>
      <c r="J238" s="9"/>
      <c r="K238" s="9"/>
      <c r="L238" s="9"/>
      <c r="M238" s="9"/>
      <c r="N238" s="9"/>
      <c r="O238" s="9"/>
      <c r="P238" s="9"/>
      <c r="Q238" s="9"/>
      <c r="Z238" s="65"/>
      <c r="AB238" s="5"/>
      <c r="AC238" s="18"/>
      <c r="AD238" s="5"/>
      <c r="AE238" s="18"/>
      <c r="AG238" s="18"/>
      <c r="AH238" s="44"/>
      <c r="AJ238" s="44"/>
      <c r="AK238" s="18"/>
      <c r="AL238" s="44"/>
      <c r="AM238" s="18"/>
      <c r="AN238" s="5"/>
      <c r="AO238" s="18"/>
      <c r="AP238" s="5"/>
      <c r="AR238" s="5"/>
      <c r="AS238" s="18"/>
      <c r="AT238" s="5"/>
    </row>
    <row r="239" spans="1:47" x14ac:dyDescent="0.25">
      <c r="A239" s="21"/>
      <c r="C239" s="9"/>
      <c r="D239" s="10"/>
      <c r="E239" s="10"/>
      <c r="F239" s="97" t="s">
        <v>38</v>
      </c>
      <c r="G239" s="91" t="s">
        <v>46</v>
      </c>
      <c r="H239" s="97" t="s">
        <v>107</v>
      </c>
      <c r="I239" s="9" t="s">
        <v>10</v>
      </c>
      <c r="J239" s="9">
        <v>600</v>
      </c>
      <c r="K239" s="11">
        <v>0.1</v>
      </c>
      <c r="L239" s="9">
        <f>J239*K239</f>
        <v>60</v>
      </c>
      <c r="M239" s="9">
        <f t="shared" ref="M239:M240" si="744">L239</f>
        <v>60</v>
      </c>
      <c r="N239" s="9"/>
      <c r="O239" s="72">
        <f t="shared" ref="O239:O248" si="745">M239-N239</f>
        <v>60</v>
      </c>
      <c r="P239" s="9"/>
      <c r="Q239" s="9"/>
      <c r="R239" s="91"/>
      <c r="S239" s="91"/>
      <c r="T239" s="91"/>
      <c r="U239" s="92">
        <f t="shared" ref="U239:U248" si="746">O239-P239-Q239-R239-S239-T239</f>
        <v>60</v>
      </c>
      <c r="V239" s="91">
        <f t="shared" ref="V239:V248" si="747">U239-B239-D239</f>
        <v>60</v>
      </c>
      <c r="W239" s="93"/>
      <c r="X239" s="94">
        <f t="shared" ref="X239:X244" si="748">100%-Y239-AA239-AC239-AE239-AG239-AI239-AK239-AM239-AO239-AQ239</f>
        <v>1.0000000000000037E-2</v>
      </c>
      <c r="Y239" s="17">
        <f t="shared" ref="Y239:Y243" si="749">(99%-AA239-AC239-AE239-AG239-AI239-AK239-AM239-AO239-AQ239)</f>
        <v>0.84</v>
      </c>
      <c r="Z239" s="9">
        <f t="shared" ref="Z239:Z243" si="750">(V239*Y239)+Q239+R239</f>
        <v>50.4</v>
      </c>
      <c r="AA239" s="17">
        <v>0.15</v>
      </c>
      <c r="AB239" s="5">
        <f t="shared" ref="AB239:AB243" si="751">(V239*AA239)</f>
        <v>9</v>
      </c>
      <c r="AC239" s="67"/>
      <c r="AE239" s="67"/>
      <c r="AU239" s="73">
        <f t="shared" ref="AU239:AU248" si="752">V239*X239</f>
        <v>0.6000000000000022</v>
      </c>
    </row>
    <row r="240" spans="1:47" x14ac:dyDescent="0.25">
      <c r="A240" s="21"/>
      <c r="C240" s="9"/>
      <c r="D240" s="10"/>
      <c r="E240" s="10"/>
      <c r="F240" s="97" t="s">
        <v>38</v>
      </c>
      <c r="G240" s="91" t="s">
        <v>46</v>
      </c>
      <c r="H240" s="97" t="s">
        <v>108</v>
      </c>
      <c r="I240" s="9" t="s">
        <v>10</v>
      </c>
      <c r="J240" s="9">
        <v>600</v>
      </c>
      <c r="K240" s="11">
        <v>0.1</v>
      </c>
      <c r="L240" s="9">
        <f>J240*K240</f>
        <v>60</v>
      </c>
      <c r="M240" s="9">
        <f t="shared" si="744"/>
        <v>60</v>
      </c>
      <c r="N240" s="9"/>
      <c r="O240" s="72">
        <f t="shared" si="745"/>
        <v>60</v>
      </c>
      <c r="P240" s="9"/>
      <c r="Q240" s="9"/>
      <c r="R240" s="91"/>
      <c r="S240" s="91"/>
      <c r="T240" s="91"/>
      <c r="U240" s="92">
        <f t="shared" si="746"/>
        <v>60</v>
      </c>
      <c r="V240" s="91">
        <f t="shared" si="747"/>
        <v>60</v>
      </c>
      <c r="W240" s="93"/>
      <c r="X240" s="94">
        <f t="shared" si="748"/>
        <v>1.0000000000000037E-2</v>
      </c>
      <c r="Y240" s="17">
        <f t="shared" si="749"/>
        <v>0.84</v>
      </c>
      <c r="Z240" s="9">
        <f t="shared" si="750"/>
        <v>50.4</v>
      </c>
      <c r="AA240" s="17">
        <v>0.15</v>
      </c>
      <c r="AB240" s="5">
        <f t="shared" si="751"/>
        <v>9</v>
      </c>
      <c r="AC240" s="67"/>
      <c r="AE240" s="67"/>
      <c r="AU240" s="73">
        <f t="shared" si="752"/>
        <v>0.6000000000000022</v>
      </c>
    </row>
    <row r="241" spans="1:47" x14ac:dyDescent="0.25">
      <c r="A241" s="21"/>
      <c r="C241" s="9"/>
      <c r="D241" s="10"/>
      <c r="E241" s="10"/>
      <c r="F241" s="97" t="s">
        <v>38</v>
      </c>
      <c r="G241" s="91" t="s">
        <v>46</v>
      </c>
      <c r="H241" s="97" t="s">
        <v>109</v>
      </c>
      <c r="I241" s="9" t="s">
        <v>10</v>
      </c>
      <c r="J241" s="9">
        <v>1500</v>
      </c>
      <c r="K241" s="11">
        <v>0.1</v>
      </c>
      <c r="L241" s="9">
        <f>J241*K241</f>
        <v>150</v>
      </c>
      <c r="M241" s="9">
        <f t="shared" ref="M241:M243" si="753">L241</f>
        <v>150</v>
      </c>
      <c r="N241" s="9"/>
      <c r="O241" s="72">
        <f t="shared" si="745"/>
        <v>150</v>
      </c>
      <c r="P241" s="9"/>
      <c r="Q241" s="9"/>
      <c r="R241" s="91"/>
      <c r="S241" s="91"/>
      <c r="T241" s="91"/>
      <c r="U241" s="92">
        <f t="shared" si="746"/>
        <v>150</v>
      </c>
      <c r="V241" s="91">
        <f t="shared" si="747"/>
        <v>150</v>
      </c>
      <c r="W241" s="93"/>
      <c r="X241" s="94">
        <f t="shared" si="748"/>
        <v>1.0000000000000037E-2</v>
      </c>
      <c r="Y241" s="17">
        <f t="shared" si="749"/>
        <v>0.84</v>
      </c>
      <c r="Z241" s="9">
        <f t="shared" si="750"/>
        <v>126</v>
      </c>
      <c r="AA241" s="17">
        <v>0.15</v>
      </c>
      <c r="AB241" s="5">
        <f t="shared" si="751"/>
        <v>22.5</v>
      </c>
      <c r="AC241" s="67"/>
      <c r="AE241" s="67"/>
      <c r="AU241" s="73">
        <f t="shared" si="752"/>
        <v>1.5000000000000056</v>
      </c>
    </row>
    <row r="242" spans="1:47" x14ac:dyDescent="0.25">
      <c r="A242" s="21"/>
      <c r="C242" s="9"/>
      <c r="D242" s="10"/>
      <c r="E242" s="10"/>
      <c r="F242" s="97" t="s">
        <v>38</v>
      </c>
      <c r="G242" s="91" t="s">
        <v>46</v>
      </c>
      <c r="H242" s="97" t="s">
        <v>110</v>
      </c>
      <c r="I242" s="9" t="s">
        <v>10</v>
      </c>
      <c r="J242" s="9">
        <v>600</v>
      </c>
      <c r="K242" s="11">
        <v>0.1</v>
      </c>
      <c r="L242" s="9">
        <f t="shared" ref="L242:L244" si="754">J242*K242</f>
        <v>60</v>
      </c>
      <c r="M242" s="9">
        <f t="shared" si="753"/>
        <v>60</v>
      </c>
      <c r="N242" s="9"/>
      <c r="O242" s="72">
        <f t="shared" si="745"/>
        <v>60</v>
      </c>
      <c r="P242" s="9"/>
      <c r="Q242" s="9"/>
      <c r="R242" s="91"/>
      <c r="S242" s="91"/>
      <c r="T242" s="91"/>
      <c r="U242" s="92">
        <f t="shared" si="746"/>
        <v>60</v>
      </c>
      <c r="V242" s="91">
        <f t="shared" si="747"/>
        <v>60</v>
      </c>
      <c r="W242" s="93"/>
      <c r="X242" s="94">
        <f t="shared" si="748"/>
        <v>1.0000000000000037E-2</v>
      </c>
      <c r="Y242" s="17">
        <f t="shared" si="749"/>
        <v>0.84</v>
      </c>
      <c r="Z242" s="9">
        <f t="shared" si="750"/>
        <v>50.4</v>
      </c>
      <c r="AA242" s="17">
        <v>0.15</v>
      </c>
      <c r="AB242" s="5">
        <f t="shared" si="751"/>
        <v>9</v>
      </c>
      <c r="AC242" s="67"/>
      <c r="AE242" s="67"/>
      <c r="AU242" s="73">
        <f t="shared" si="752"/>
        <v>0.6000000000000022</v>
      </c>
    </row>
    <row r="243" spans="1:47" x14ac:dyDescent="0.25">
      <c r="A243" s="21"/>
      <c r="C243" s="9"/>
      <c r="D243" s="10"/>
      <c r="E243" s="10"/>
      <c r="F243" s="97" t="s">
        <v>38</v>
      </c>
      <c r="G243" s="91" t="s">
        <v>46</v>
      </c>
      <c r="H243" s="97" t="s">
        <v>130</v>
      </c>
      <c r="I243" s="9" t="s">
        <v>10</v>
      </c>
      <c r="J243" s="9">
        <v>600</v>
      </c>
      <c r="K243" s="11">
        <v>0.1</v>
      </c>
      <c r="L243" s="9">
        <f t="shared" si="754"/>
        <v>60</v>
      </c>
      <c r="M243" s="9">
        <f t="shared" si="753"/>
        <v>60</v>
      </c>
      <c r="N243" s="9"/>
      <c r="O243" s="72">
        <f t="shared" si="745"/>
        <v>60</v>
      </c>
      <c r="P243" s="9"/>
      <c r="Q243" s="9"/>
      <c r="R243" s="91"/>
      <c r="S243" s="91"/>
      <c r="T243" s="91"/>
      <c r="U243" s="92">
        <f t="shared" si="746"/>
        <v>60</v>
      </c>
      <c r="V243" s="91">
        <f t="shared" si="747"/>
        <v>60</v>
      </c>
      <c r="W243" s="93"/>
      <c r="X243" s="94">
        <f t="shared" si="748"/>
        <v>1.0000000000000037E-2</v>
      </c>
      <c r="Y243" s="17">
        <f t="shared" si="749"/>
        <v>0.84</v>
      </c>
      <c r="Z243" s="9">
        <f t="shared" si="750"/>
        <v>50.4</v>
      </c>
      <c r="AA243" s="17">
        <v>0.15</v>
      </c>
      <c r="AB243" s="5">
        <f t="shared" si="751"/>
        <v>9</v>
      </c>
      <c r="AC243" s="67"/>
      <c r="AE243" s="67"/>
      <c r="AU243" s="73">
        <f t="shared" si="752"/>
        <v>0.6000000000000022</v>
      </c>
    </row>
    <row r="244" spans="1:47" x14ac:dyDescent="0.25">
      <c r="A244" s="21"/>
      <c r="C244" s="9"/>
      <c r="D244" s="10"/>
      <c r="E244" s="10"/>
      <c r="F244" s="97" t="s">
        <v>38</v>
      </c>
      <c r="G244" s="91" t="s">
        <v>46</v>
      </c>
      <c r="H244" s="97" t="s">
        <v>131</v>
      </c>
      <c r="I244" s="9" t="s">
        <v>11</v>
      </c>
      <c r="J244" s="5">
        <v>600</v>
      </c>
      <c r="K244" s="85">
        <v>0.1</v>
      </c>
      <c r="L244" s="9">
        <f t="shared" si="754"/>
        <v>60</v>
      </c>
      <c r="M244" s="9"/>
      <c r="N244" s="9"/>
      <c r="O244" s="72">
        <f t="shared" si="745"/>
        <v>0</v>
      </c>
      <c r="P244" s="9"/>
      <c r="Q244" s="9"/>
      <c r="R244" s="109"/>
      <c r="S244" s="109"/>
      <c r="T244" s="109"/>
      <c r="U244" s="110">
        <f t="shared" si="746"/>
        <v>0</v>
      </c>
      <c r="V244" s="109">
        <f t="shared" si="747"/>
        <v>0</v>
      </c>
      <c r="W244" s="111"/>
      <c r="X244" s="13">
        <f t="shared" si="748"/>
        <v>1.0000000000000009E-2</v>
      </c>
      <c r="Y244" s="17">
        <f t="shared" ref="Y244:Y248" si="755">(99%-AA244-AC244-AE244-AG244-AI244-AK244-AM244-AO244-AQ244)</f>
        <v>0.99</v>
      </c>
      <c r="Z244" s="65">
        <f t="shared" ref="Z244:Z248" si="756">(V244*Y244)+Q244+R244</f>
        <v>0</v>
      </c>
      <c r="AA244" s="17"/>
      <c r="AB244" s="5">
        <f t="shared" ref="AB244:AB248" si="757">(V244*AA244)</f>
        <v>0</v>
      </c>
      <c r="AC244" s="17"/>
      <c r="AD244" s="5"/>
      <c r="AE244" s="17"/>
      <c r="AG244" s="18"/>
      <c r="AH244" s="44"/>
      <c r="AJ244" s="44"/>
      <c r="AK244" s="18"/>
      <c r="AL244" s="44"/>
      <c r="AM244" s="18"/>
      <c r="AN244" s="5"/>
      <c r="AO244" s="18"/>
      <c r="AP244" s="5"/>
      <c r="AR244" s="5"/>
      <c r="AS244" s="18"/>
      <c r="AT244" s="5"/>
      <c r="AU244" s="73">
        <f t="shared" si="752"/>
        <v>0</v>
      </c>
    </row>
    <row r="245" spans="1:47" x14ac:dyDescent="0.25">
      <c r="A245" s="21"/>
      <c r="C245" s="9"/>
      <c r="D245" s="10"/>
      <c r="E245" s="10"/>
      <c r="F245" s="97" t="s">
        <v>38</v>
      </c>
      <c r="G245" s="91" t="s">
        <v>46</v>
      </c>
      <c r="H245" s="97" t="s">
        <v>132</v>
      </c>
      <c r="I245" s="9" t="s">
        <v>10</v>
      </c>
      <c r="J245" s="9">
        <v>200</v>
      </c>
      <c r="K245" s="11">
        <v>0.3</v>
      </c>
      <c r="L245" s="9">
        <f t="shared" ref="L245" si="758">J245*K245</f>
        <v>60</v>
      </c>
      <c r="M245" s="9">
        <f t="shared" ref="M245:M259" si="759">L245</f>
        <v>60</v>
      </c>
      <c r="N245" s="9"/>
      <c r="O245" s="72">
        <f t="shared" si="745"/>
        <v>60</v>
      </c>
      <c r="P245" s="9"/>
      <c r="Q245" s="9"/>
      <c r="R245" s="91"/>
      <c r="S245" s="91"/>
      <c r="T245" s="91"/>
      <c r="U245" s="92">
        <f t="shared" si="746"/>
        <v>60</v>
      </c>
      <c r="V245" s="91">
        <f t="shared" si="747"/>
        <v>60</v>
      </c>
      <c r="W245" s="93"/>
      <c r="X245" s="94">
        <f t="shared" ref="X245:X248" si="760">100%-Y245-AA245-AC245-AE245-AG245-AI245-AK245-AM245-AO245-AQ245</f>
        <v>1.0000000000000037E-2</v>
      </c>
      <c r="Y245" s="17">
        <f t="shared" si="755"/>
        <v>0.84</v>
      </c>
      <c r="Z245" s="9">
        <f t="shared" si="756"/>
        <v>50.4</v>
      </c>
      <c r="AA245" s="17">
        <v>0.15</v>
      </c>
      <c r="AB245" s="5">
        <f t="shared" si="757"/>
        <v>9</v>
      </c>
      <c r="AC245" s="67"/>
      <c r="AE245" s="67"/>
      <c r="AU245" s="73">
        <f t="shared" si="752"/>
        <v>0.6000000000000022</v>
      </c>
    </row>
    <row r="246" spans="1:47" x14ac:dyDescent="0.25">
      <c r="A246" s="21"/>
      <c r="C246" s="9"/>
      <c r="D246" s="10"/>
      <c r="E246" s="10"/>
      <c r="F246" s="97" t="s">
        <v>38</v>
      </c>
      <c r="G246" s="91" t="s">
        <v>46</v>
      </c>
      <c r="H246" s="97" t="s">
        <v>133</v>
      </c>
      <c r="I246" s="9" t="s">
        <v>10</v>
      </c>
      <c r="J246" s="9">
        <v>200</v>
      </c>
      <c r="K246" s="11">
        <v>0.3</v>
      </c>
      <c r="L246" s="9">
        <f t="shared" ref="L246:L248" si="761">J246*K246</f>
        <v>60</v>
      </c>
      <c r="M246" s="9">
        <f t="shared" si="759"/>
        <v>60</v>
      </c>
      <c r="N246" s="9"/>
      <c r="O246" s="72">
        <f t="shared" si="745"/>
        <v>60</v>
      </c>
      <c r="P246" s="9"/>
      <c r="Q246" s="9"/>
      <c r="R246" s="91"/>
      <c r="S246" s="91"/>
      <c r="T246" s="91"/>
      <c r="U246" s="92">
        <f t="shared" si="746"/>
        <v>60</v>
      </c>
      <c r="V246" s="91">
        <f t="shared" si="747"/>
        <v>60</v>
      </c>
      <c r="W246" s="93"/>
      <c r="X246" s="94">
        <f t="shared" si="760"/>
        <v>1.0000000000000037E-2</v>
      </c>
      <c r="Y246" s="17">
        <f t="shared" si="755"/>
        <v>0.84</v>
      </c>
      <c r="Z246" s="9">
        <f t="shared" si="756"/>
        <v>50.4</v>
      </c>
      <c r="AA246" s="17">
        <v>0.15</v>
      </c>
      <c r="AB246" s="5">
        <f t="shared" si="757"/>
        <v>9</v>
      </c>
      <c r="AC246" s="67"/>
      <c r="AE246" s="67"/>
      <c r="AU246" s="73">
        <f t="shared" si="752"/>
        <v>0.6000000000000022</v>
      </c>
    </row>
    <row r="247" spans="1:47" x14ac:dyDescent="0.25">
      <c r="A247" s="21"/>
      <c r="C247" s="9"/>
      <c r="D247" s="10"/>
      <c r="E247" s="10"/>
      <c r="F247" s="97" t="s">
        <v>38</v>
      </c>
      <c r="G247" s="91" t="s">
        <v>46</v>
      </c>
      <c r="H247" s="97" t="s">
        <v>134</v>
      </c>
      <c r="I247" s="9" t="s">
        <v>10</v>
      </c>
      <c r="J247" s="9">
        <v>200</v>
      </c>
      <c r="K247" s="11">
        <v>0.3</v>
      </c>
      <c r="L247" s="9">
        <f t="shared" si="761"/>
        <v>60</v>
      </c>
      <c r="M247" s="9">
        <f t="shared" si="759"/>
        <v>60</v>
      </c>
      <c r="N247" s="9"/>
      <c r="O247" s="72">
        <f t="shared" si="745"/>
        <v>60</v>
      </c>
      <c r="P247" s="9"/>
      <c r="Q247" s="9"/>
      <c r="R247" s="91"/>
      <c r="S247" s="91"/>
      <c r="T247" s="91"/>
      <c r="U247" s="92">
        <f t="shared" si="746"/>
        <v>60</v>
      </c>
      <c r="V247" s="91">
        <f t="shared" si="747"/>
        <v>60</v>
      </c>
      <c r="W247" s="93"/>
      <c r="X247" s="94">
        <f t="shared" si="760"/>
        <v>1.0000000000000037E-2</v>
      </c>
      <c r="Y247" s="17">
        <f t="shared" si="755"/>
        <v>0.84</v>
      </c>
      <c r="Z247" s="9">
        <f t="shared" si="756"/>
        <v>50.4</v>
      </c>
      <c r="AA247" s="17">
        <v>0.15</v>
      </c>
      <c r="AB247" s="5">
        <f t="shared" si="757"/>
        <v>9</v>
      </c>
      <c r="AC247" s="67"/>
      <c r="AE247" s="67"/>
      <c r="AU247" s="73">
        <f t="shared" si="752"/>
        <v>0.6000000000000022</v>
      </c>
    </row>
    <row r="248" spans="1:47" x14ac:dyDescent="0.25">
      <c r="A248" s="21"/>
      <c r="C248" s="9"/>
      <c r="D248" s="10"/>
      <c r="E248" s="10"/>
      <c r="F248" s="97" t="s">
        <v>38</v>
      </c>
      <c r="G248" s="91" t="s">
        <v>46</v>
      </c>
      <c r="H248" s="97" t="s">
        <v>135</v>
      </c>
      <c r="I248" s="9" t="s">
        <v>10</v>
      </c>
      <c r="J248" s="9">
        <v>200</v>
      </c>
      <c r="K248" s="11">
        <v>0.3</v>
      </c>
      <c r="L248" s="9">
        <f t="shared" si="761"/>
        <v>60</v>
      </c>
      <c r="M248" s="9">
        <f t="shared" si="759"/>
        <v>60</v>
      </c>
      <c r="N248" s="9"/>
      <c r="O248" s="72">
        <f t="shared" si="745"/>
        <v>60</v>
      </c>
      <c r="P248" s="9"/>
      <c r="Q248" s="9"/>
      <c r="R248" s="91"/>
      <c r="S248" s="91"/>
      <c r="T248" s="91"/>
      <c r="U248" s="92">
        <f t="shared" si="746"/>
        <v>60</v>
      </c>
      <c r="V248" s="91">
        <f t="shared" si="747"/>
        <v>60</v>
      </c>
      <c r="W248" s="93"/>
      <c r="X248" s="94">
        <f t="shared" si="760"/>
        <v>1.0000000000000037E-2</v>
      </c>
      <c r="Y248" s="17">
        <f t="shared" si="755"/>
        <v>0.84</v>
      </c>
      <c r="Z248" s="9">
        <f t="shared" si="756"/>
        <v>50.4</v>
      </c>
      <c r="AA248" s="17">
        <v>0.15</v>
      </c>
      <c r="AB248" s="5">
        <f t="shared" si="757"/>
        <v>9</v>
      </c>
      <c r="AC248" s="67"/>
      <c r="AE248" s="67"/>
      <c r="AU248" s="73">
        <f t="shared" si="752"/>
        <v>0.6000000000000022</v>
      </c>
    </row>
    <row r="249" spans="1:47" x14ac:dyDescent="0.25">
      <c r="A249" s="9"/>
      <c r="C249" s="9"/>
      <c r="D249" s="9"/>
      <c r="E249" s="9"/>
      <c r="F249" s="8"/>
      <c r="G249" s="8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14"/>
      <c r="S249" s="10"/>
      <c r="T249" s="10"/>
      <c r="U249" s="16"/>
      <c r="V249" s="10"/>
      <c r="W249" s="16"/>
      <c r="X249" s="16"/>
      <c r="Y249" s="17"/>
      <c r="Z249" s="52"/>
      <c r="AA249" s="17"/>
      <c r="AB249" s="4"/>
      <c r="AC249" s="17"/>
      <c r="AD249" s="10"/>
      <c r="AE249" s="17"/>
      <c r="AF249" s="10"/>
      <c r="AG249" s="17"/>
      <c r="AI249" s="17"/>
      <c r="AK249" s="17"/>
      <c r="AM249" s="17"/>
      <c r="AO249" s="17"/>
      <c r="AP249" s="10"/>
      <c r="AQ249" s="17"/>
      <c r="AR249" s="10"/>
      <c r="AS249" s="17"/>
      <c r="AT249" s="10"/>
    </row>
    <row r="250" spans="1:47" x14ac:dyDescent="0.25">
      <c r="A250" s="21"/>
      <c r="C250" s="9"/>
      <c r="D250" s="10"/>
      <c r="E250" s="10"/>
      <c r="F250" s="97" t="s">
        <v>51</v>
      </c>
      <c r="G250" s="91" t="s">
        <v>46</v>
      </c>
      <c r="H250" s="97" t="s">
        <v>111</v>
      </c>
      <c r="I250" s="9" t="s">
        <v>10</v>
      </c>
      <c r="J250" s="9">
        <v>1100</v>
      </c>
      <c r="K250" s="11">
        <v>0.3</v>
      </c>
      <c r="L250" s="9">
        <v>300</v>
      </c>
      <c r="M250" s="9">
        <f t="shared" si="759"/>
        <v>300</v>
      </c>
      <c r="N250" s="9"/>
      <c r="O250" s="72">
        <f t="shared" ref="O250:O253" si="762">M250-N250</f>
        <v>300</v>
      </c>
      <c r="P250" s="9"/>
      <c r="Q250" s="9"/>
      <c r="R250" s="91"/>
      <c r="S250" s="91"/>
      <c r="T250" s="91"/>
      <c r="U250" s="92">
        <f t="shared" ref="U250:U253" si="763">O250-P250-Q250-R250-S250-T250</f>
        <v>300</v>
      </c>
      <c r="V250" s="91">
        <f t="shared" ref="V250:V253" si="764">U250-B250-D250</f>
        <v>300</v>
      </c>
      <c r="W250" s="93"/>
      <c r="X250" s="13">
        <f t="shared" ref="X250:X253" si="765">100%-Y250-AA250-AC250-AE250-AG250-AI250-AK250-AM250-AO250-AQ250</f>
        <v>1.0000000000000037E-2</v>
      </c>
      <c r="Y250" s="17">
        <f t="shared" ref="Y250" si="766">(99%-AA250-AC250-AE250-AG250-AI250-AK250-AM250-AO250-AQ250)</f>
        <v>0.84</v>
      </c>
      <c r="Z250" s="9">
        <f t="shared" ref="Z250" si="767">(V250*Y250)+Q250+R250</f>
        <v>252</v>
      </c>
      <c r="AA250" s="17">
        <v>0.15</v>
      </c>
      <c r="AB250" s="5">
        <f t="shared" ref="AB250" si="768">(V250*AA250)</f>
        <v>45</v>
      </c>
      <c r="AC250" s="67"/>
      <c r="AE250" s="67"/>
      <c r="AU250" s="73">
        <f t="shared" ref="AU250:AU253" si="769">V250*X250</f>
        <v>3.0000000000000111</v>
      </c>
    </row>
    <row r="251" spans="1:47" x14ac:dyDescent="0.25">
      <c r="A251" s="21"/>
      <c r="C251" s="9"/>
      <c r="D251" s="10"/>
      <c r="E251" s="10"/>
      <c r="F251" s="97" t="s">
        <v>51</v>
      </c>
      <c r="G251" s="91" t="s">
        <v>46</v>
      </c>
      <c r="H251" s="97" t="s">
        <v>111</v>
      </c>
      <c r="I251" s="9" t="s">
        <v>11</v>
      </c>
      <c r="J251" s="5">
        <v>1100</v>
      </c>
      <c r="K251" s="11">
        <v>0.3</v>
      </c>
      <c r="L251" s="9">
        <v>300</v>
      </c>
      <c r="M251" s="9"/>
      <c r="N251" s="9"/>
      <c r="O251" s="72">
        <f t="shared" si="762"/>
        <v>0</v>
      </c>
      <c r="P251" s="9"/>
      <c r="Q251" s="9"/>
      <c r="R251" s="109"/>
      <c r="S251" s="109"/>
      <c r="T251" s="109"/>
      <c r="U251" s="92">
        <f t="shared" si="763"/>
        <v>0</v>
      </c>
      <c r="V251" s="91">
        <f t="shared" si="764"/>
        <v>0</v>
      </c>
      <c r="W251" s="93"/>
      <c r="X251" s="13">
        <f t="shared" si="765"/>
        <v>1.0000000000000009E-2</v>
      </c>
      <c r="Y251" s="17">
        <f t="shared" ref="Y251:Y253" si="770">(99%-AA251-AC251-AE251-AG251-AI251-AK251-AM251-AO251-AQ251)</f>
        <v>0.99</v>
      </c>
      <c r="Z251" s="65">
        <f t="shared" ref="Z251:Z253" si="771">(V251*Y251)+Q251+R251</f>
        <v>0</v>
      </c>
      <c r="AA251" s="17"/>
      <c r="AB251" s="5">
        <f t="shared" ref="AB251:AB253" si="772">(V251*AA251)</f>
        <v>0</v>
      </c>
      <c r="AC251" s="67"/>
      <c r="AD251" s="5"/>
      <c r="AE251" s="67"/>
      <c r="AH251" s="44"/>
      <c r="AJ251" s="44"/>
      <c r="AL251" s="44"/>
      <c r="AN251" s="5"/>
      <c r="AP251" s="5"/>
      <c r="AR251" s="5"/>
      <c r="AT251" s="5"/>
      <c r="AU251" s="73">
        <f t="shared" si="769"/>
        <v>0</v>
      </c>
    </row>
    <row r="252" spans="1:47" x14ac:dyDescent="0.25">
      <c r="A252" s="21"/>
      <c r="C252" s="9"/>
      <c r="D252" s="10"/>
      <c r="E252" s="10"/>
      <c r="F252" s="97" t="s">
        <v>51</v>
      </c>
      <c r="G252" s="91" t="s">
        <v>46</v>
      </c>
      <c r="H252" s="97" t="s">
        <v>112</v>
      </c>
      <c r="I252" s="9" t="s">
        <v>11</v>
      </c>
      <c r="J252" s="5">
        <v>3000</v>
      </c>
      <c r="K252" s="11">
        <v>0.3</v>
      </c>
      <c r="L252" s="9">
        <f t="shared" ref="L252" si="773">J252*K252</f>
        <v>900</v>
      </c>
      <c r="M252" s="9"/>
      <c r="N252" s="9"/>
      <c r="O252" s="72">
        <f t="shared" si="762"/>
        <v>0</v>
      </c>
      <c r="P252" s="9"/>
      <c r="Q252" s="9"/>
      <c r="R252" s="109"/>
      <c r="S252" s="109"/>
      <c r="T252" s="109"/>
      <c r="U252" s="92">
        <f t="shared" si="763"/>
        <v>0</v>
      </c>
      <c r="V252" s="91">
        <f t="shared" si="764"/>
        <v>0</v>
      </c>
      <c r="W252" s="93"/>
      <c r="X252" s="13">
        <f t="shared" si="765"/>
        <v>1.0000000000000009E-2</v>
      </c>
      <c r="Y252" s="17">
        <f t="shared" si="770"/>
        <v>0.99</v>
      </c>
      <c r="Z252" s="65">
        <f t="shared" si="771"/>
        <v>0</v>
      </c>
      <c r="AA252" s="17"/>
      <c r="AB252" s="5">
        <f t="shared" si="772"/>
        <v>0</v>
      </c>
      <c r="AC252" s="67"/>
      <c r="AD252" s="5"/>
      <c r="AE252" s="67"/>
      <c r="AH252" s="44"/>
      <c r="AJ252" s="44"/>
      <c r="AL252" s="44"/>
      <c r="AN252" s="5"/>
      <c r="AP252" s="5"/>
      <c r="AR252" s="5"/>
      <c r="AT252" s="5"/>
      <c r="AU252" s="73">
        <f t="shared" si="769"/>
        <v>0</v>
      </c>
    </row>
    <row r="253" spans="1:47" x14ac:dyDescent="0.25">
      <c r="A253" s="21"/>
      <c r="C253" s="9"/>
      <c r="D253" s="10"/>
      <c r="E253" s="10"/>
      <c r="F253" s="97" t="s">
        <v>51</v>
      </c>
      <c r="G253" s="91" t="s">
        <v>46</v>
      </c>
      <c r="H253" s="97" t="s">
        <v>113</v>
      </c>
      <c r="I253" s="9" t="s">
        <v>10</v>
      </c>
      <c r="J253" s="5">
        <v>100</v>
      </c>
      <c r="K253" s="85">
        <v>0.3</v>
      </c>
      <c r="L253" s="9">
        <v>22</v>
      </c>
      <c r="M253" s="9">
        <f t="shared" si="759"/>
        <v>22</v>
      </c>
      <c r="N253" s="9"/>
      <c r="O253" s="72">
        <f t="shared" si="762"/>
        <v>22</v>
      </c>
      <c r="P253" s="9"/>
      <c r="Q253" s="9"/>
      <c r="R253" s="109"/>
      <c r="S253" s="109"/>
      <c r="T253" s="109"/>
      <c r="U253" s="92">
        <f t="shared" si="763"/>
        <v>22</v>
      </c>
      <c r="V253" s="91">
        <f t="shared" si="764"/>
        <v>22</v>
      </c>
      <c r="W253" s="93"/>
      <c r="X253" s="13">
        <f t="shared" si="765"/>
        <v>1.0000000000000037E-2</v>
      </c>
      <c r="Y253" s="17">
        <f t="shared" si="770"/>
        <v>0.84</v>
      </c>
      <c r="Z253" s="9">
        <f t="shared" si="771"/>
        <v>18.48</v>
      </c>
      <c r="AA253" s="17">
        <v>0.15</v>
      </c>
      <c r="AB253" s="5">
        <f t="shared" si="772"/>
        <v>3.3</v>
      </c>
      <c r="AC253" s="67"/>
      <c r="AE253" s="67"/>
      <c r="AU253" s="73">
        <f t="shared" si="769"/>
        <v>0.22000000000000081</v>
      </c>
    </row>
    <row r="254" spans="1:47" x14ac:dyDescent="0.25">
      <c r="A254" s="9"/>
      <c r="C254" s="9"/>
      <c r="D254" s="9"/>
      <c r="E254" s="9"/>
      <c r="F254" s="8"/>
      <c r="G254" s="8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14"/>
      <c r="S254" s="10"/>
      <c r="T254" s="10"/>
      <c r="U254" s="16"/>
      <c r="V254" s="10"/>
      <c r="W254" s="16"/>
      <c r="X254" s="16"/>
      <c r="Y254" s="17"/>
      <c r="Z254" s="52"/>
      <c r="AA254" s="17"/>
      <c r="AB254" s="4"/>
      <c r="AC254" s="17"/>
      <c r="AD254" s="10"/>
      <c r="AE254" s="17"/>
      <c r="AF254" s="10"/>
      <c r="AG254" s="17"/>
      <c r="AI254" s="17"/>
      <c r="AK254" s="17"/>
      <c r="AM254" s="17"/>
      <c r="AO254" s="17"/>
      <c r="AP254" s="10"/>
      <c r="AQ254" s="17"/>
      <c r="AR254" s="10"/>
      <c r="AS254" s="17"/>
      <c r="AT254" s="10"/>
    </row>
    <row r="255" spans="1:47" x14ac:dyDescent="0.25">
      <c r="A255" s="21"/>
      <c r="C255" s="9"/>
      <c r="D255" s="10"/>
      <c r="E255" s="10"/>
      <c r="F255" s="97" t="s">
        <v>53</v>
      </c>
      <c r="G255" s="91" t="s">
        <v>46</v>
      </c>
      <c r="H255" s="97" t="s">
        <v>114</v>
      </c>
      <c r="I255" s="9" t="s">
        <v>11</v>
      </c>
      <c r="J255" s="9">
        <v>890</v>
      </c>
      <c r="K255" s="11">
        <v>0.1</v>
      </c>
      <c r="L255" s="9">
        <f t="shared" ref="L255" si="774">J255*K255</f>
        <v>89</v>
      </c>
      <c r="M255" s="9"/>
      <c r="N255" s="9"/>
      <c r="O255" s="72">
        <f t="shared" ref="O255:O268" si="775">M255-N255</f>
        <v>0</v>
      </c>
      <c r="P255" s="9"/>
      <c r="Q255" s="9"/>
      <c r="R255" s="91"/>
      <c r="S255" s="91"/>
      <c r="T255" s="91"/>
      <c r="U255" s="92">
        <f t="shared" ref="U255:U268" si="776">O255-P255-Q255-R255-S255-T255</f>
        <v>0</v>
      </c>
      <c r="V255" s="91">
        <f t="shared" ref="V255:V268" si="777">U255-B255-D255</f>
        <v>0</v>
      </c>
      <c r="W255" s="93"/>
      <c r="X255" s="13">
        <f t="shared" ref="X255:X268" si="778">100%-Y255-AA255-AC255-AE255-AG255-AI255-AK255-AM255-AO255-AQ255</f>
        <v>1.0000000000000037E-2</v>
      </c>
      <c r="Y255" s="17">
        <f t="shared" ref="Y255:Y259" si="779">(99%-AA255-AC255-AE255-AG255-AI255-AK255-AM255-AO255-AQ255)</f>
        <v>0.84</v>
      </c>
      <c r="Z255" s="65">
        <f t="shared" ref="Z255:Z259" si="780">(V255*Y255)+Q255+R255</f>
        <v>0</v>
      </c>
      <c r="AA255" s="17">
        <v>0.15</v>
      </c>
      <c r="AB255" s="9">
        <f t="shared" ref="AB255:AB259" si="781">(V255*AA255)</f>
        <v>0</v>
      </c>
      <c r="AC255" s="17"/>
      <c r="AD255" s="5"/>
      <c r="AE255" s="17"/>
      <c r="AG255" s="18"/>
      <c r="AH255" s="44"/>
      <c r="AJ255" s="44"/>
      <c r="AK255" s="18"/>
      <c r="AL255" s="44"/>
      <c r="AM255" s="18"/>
      <c r="AN255" s="5"/>
      <c r="AO255" s="18"/>
      <c r="AP255" s="5"/>
      <c r="AR255" s="5"/>
      <c r="AS255" s="18"/>
      <c r="AT255" s="5"/>
      <c r="AU255" s="73">
        <f t="shared" ref="AU255" si="782">V255*X255</f>
        <v>0</v>
      </c>
    </row>
    <row r="256" spans="1:47" x14ac:dyDescent="0.25">
      <c r="A256" s="21"/>
      <c r="C256" s="9"/>
      <c r="D256" s="10"/>
      <c r="E256" s="10"/>
      <c r="F256" s="97" t="s">
        <v>53</v>
      </c>
      <c r="G256" s="91" t="s">
        <v>46</v>
      </c>
      <c r="H256" s="97" t="s">
        <v>115</v>
      </c>
      <c r="I256" s="9" t="s">
        <v>11</v>
      </c>
      <c r="J256" s="9">
        <v>890</v>
      </c>
      <c r="K256" s="11">
        <v>0.1</v>
      </c>
      <c r="L256" s="9">
        <f t="shared" ref="L256:L259" si="783">J256*K256</f>
        <v>89</v>
      </c>
      <c r="M256" s="9"/>
      <c r="N256" s="9"/>
      <c r="O256" s="72">
        <f t="shared" si="775"/>
        <v>0</v>
      </c>
      <c r="P256" s="9"/>
      <c r="Q256" s="9"/>
      <c r="R256" s="91"/>
      <c r="S256" s="91"/>
      <c r="T256" s="91"/>
      <c r="U256" s="92">
        <f t="shared" ref="U256:U259" si="784">O256-P256-Q256-R256-S256-T256</f>
        <v>0</v>
      </c>
      <c r="V256" s="91">
        <f t="shared" ref="V256:V259" si="785">U256-B256-D256</f>
        <v>0</v>
      </c>
      <c r="W256" s="93"/>
      <c r="X256" s="13">
        <f t="shared" ref="X256:X259" si="786">100%-Y256-AA256-AC256-AE256-AG256-AI256-AK256-AM256-AO256-AQ256</f>
        <v>1.0000000000000037E-2</v>
      </c>
      <c r="Y256" s="17">
        <f t="shared" si="779"/>
        <v>0.84</v>
      </c>
      <c r="Z256" s="65">
        <f t="shared" si="780"/>
        <v>0</v>
      </c>
      <c r="AA256" s="17">
        <v>0.15</v>
      </c>
      <c r="AB256" s="9">
        <f t="shared" si="781"/>
        <v>0</v>
      </c>
      <c r="AC256" s="17"/>
      <c r="AD256" s="5"/>
      <c r="AE256" s="17"/>
      <c r="AG256" s="18"/>
      <c r="AH256" s="44"/>
      <c r="AJ256" s="44"/>
      <c r="AK256" s="18"/>
      <c r="AL256" s="44"/>
      <c r="AM256" s="18"/>
      <c r="AN256" s="5"/>
      <c r="AO256" s="18"/>
      <c r="AP256" s="5"/>
      <c r="AR256" s="5"/>
      <c r="AS256" s="18"/>
      <c r="AT256" s="5"/>
      <c r="AU256" s="73">
        <f t="shared" ref="AU256:AU259" si="787">V256*X256</f>
        <v>0</v>
      </c>
    </row>
    <row r="257" spans="1:47" x14ac:dyDescent="0.25">
      <c r="A257" s="21"/>
      <c r="C257" s="9"/>
      <c r="D257" s="10"/>
      <c r="E257" s="10"/>
      <c r="F257" s="97" t="s">
        <v>53</v>
      </c>
      <c r="G257" s="91" t="s">
        <v>46</v>
      </c>
      <c r="H257" s="97" t="s">
        <v>115</v>
      </c>
      <c r="I257" s="9" t="s">
        <v>3</v>
      </c>
      <c r="J257" s="5">
        <v>890</v>
      </c>
      <c r="K257" s="85">
        <v>0.1</v>
      </c>
      <c r="L257" s="9">
        <f t="shared" si="783"/>
        <v>89</v>
      </c>
      <c r="M257" s="9">
        <f t="shared" si="759"/>
        <v>89</v>
      </c>
      <c r="N257" s="9"/>
      <c r="O257" s="72">
        <f t="shared" si="775"/>
        <v>89</v>
      </c>
      <c r="P257" s="9"/>
      <c r="Q257" s="9"/>
      <c r="R257" s="109"/>
      <c r="S257" s="109"/>
      <c r="T257" s="109"/>
      <c r="U257" s="92">
        <f t="shared" si="784"/>
        <v>89</v>
      </c>
      <c r="V257" s="91">
        <f t="shared" si="785"/>
        <v>89</v>
      </c>
      <c r="W257" s="93"/>
      <c r="X257" s="13">
        <f t="shared" si="786"/>
        <v>1.0000000000000037E-2</v>
      </c>
      <c r="Y257" s="17">
        <f t="shared" si="779"/>
        <v>0.84</v>
      </c>
      <c r="Z257" s="65">
        <f t="shared" si="780"/>
        <v>74.759999999999991</v>
      </c>
      <c r="AA257" s="17">
        <v>0.15</v>
      </c>
      <c r="AB257" s="9">
        <f t="shared" si="781"/>
        <v>13.35</v>
      </c>
      <c r="AC257" s="17"/>
      <c r="AD257" s="5"/>
      <c r="AE257" s="17"/>
      <c r="AG257" s="18"/>
      <c r="AH257" s="44"/>
      <c r="AJ257" s="44"/>
      <c r="AK257" s="18"/>
      <c r="AL257" s="44"/>
      <c r="AM257" s="18"/>
      <c r="AN257" s="5"/>
      <c r="AO257" s="18"/>
      <c r="AP257" s="5"/>
      <c r="AR257" s="5"/>
      <c r="AS257" s="18"/>
      <c r="AT257" s="5"/>
      <c r="AU257" s="73">
        <f t="shared" si="787"/>
        <v>0.89000000000000323</v>
      </c>
    </row>
    <row r="258" spans="1:47" x14ac:dyDescent="0.25">
      <c r="A258" s="21"/>
      <c r="C258" s="9"/>
      <c r="D258" s="10"/>
      <c r="E258" s="10"/>
      <c r="F258" s="97" t="s">
        <v>53</v>
      </c>
      <c r="G258" s="91" t="s">
        <v>46</v>
      </c>
      <c r="H258" s="97" t="s">
        <v>115</v>
      </c>
      <c r="I258" s="9" t="s">
        <v>1</v>
      </c>
      <c r="J258" s="5">
        <v>890</v>
      </c>
      <c r="K258" s="85">
        <v>0.1</v>
      </c>
      <c r="L258" s="9">
        <f t="shared" si="783"/>
        <v>89</v>
      </c>
      <c r="M258" s="9">
        <f t="shared" si="759"/>
        <v>89</v>
      </c>
      <c r="N258" s="9"/>
      <c r="O258" s="72">
        <f t="shared" si="775"/>
        <v>89</v>
      </c>
      <c r="P258" s="9"/>
      <c r="Q258" s="9"/>
      <c r="R258" s="109"/>
      <c r="S258" s="109"/>
      <c r="T258" s="109"/>
      <c r="U258" s="92">
        <f t="shared" si="784"/>
        <v>89</v>
      </c>
      <c r="V258" s="91">
        <f t="shared" si="785"/>
        <v>89</v>
      </c>
      <c r="W258" s="93"/>
      <c r="X258" s="13">
        <f t="shared" si="786"/>
        <v>1.0000000000000037E-2</v>
      </c>
      <c r="Y258" s="17">
        <f t="shared" si="779"/>
        <v>0.84</v>
      </c>
      <c r="Z258" s="65">
        <f t="shared" si="780"/>
        <v>74.759999999999991</v>
      </c>
      <c r="AA258" s="17">
        <v>0.15</v>
      </c>
      <c r="AB258" s="9">
        <f t="shared" si="781"/>
        <v>13.35</v>
      </c>
      <c r="AC258" s="17"/>
      <c r="AD258" s="5"/>
      <c r="AE258" s="17"/>
      <c r="AG258" s="18"/>
      <c r="AH258" s="44"/>
      <c r="AJ258" s="44"/>
      <c r="AK258" s="18"/>
      <c r="AL258" s="44"/>
      <c r="AM258" s="18"/>
      <c r="AN258" s="5"/>
      <c r="AO258" s="18"/>
      <c r="AP258" s="5"/>
      <c r="AR258" s="5"/>
      <c r="AS258" s="18"/>
      <c r="AT258" s="5"/>
      <c r="AU258" s="73">
        <f t="shared" si="787"/>
        <v>0.89000000000000323</v>
      </c>
    </row>
    <row r="259" spans="1:47" x14ac:dyDescent="0.25">
      <c r="A259" s="21"/>
      <c r="C259" s="9"/>
      <c r="D259" s="10"/>
      <c r="E259" s="10"/>
      <c r="F259" s="97" t="s">
        <v>53</v>
      </c>
      <c r="G259" s="91" t="s">
        <v>46</v>
      </c>
      <c r="H259" s="97" t="s">
        <v>115</v>
      </c>
      <c r="I259" s="9" t="s">
        <v>6</v>
      </c>
      <c r="J259" s="5">
        <v>890</v>
      </c>
      <c r="K259" s="85">
        <v>0.1</v>
      </c>
      <c r="L259" s="9">
        <f t="shared" si="783"/>
        <v>89</v>
      </c>
      <c r="M259" s="9">
        <f t="shared" si="759"/>
        <v>89</v>
      </c>
      <c r="N259" s="9"/>
      <c r="O259" s="72">
        <f t="shared" si="775"/>
        <v>89</v>
      </c>
      <c r="P259" s="9"/>
      <c r="Q259" s="9"/>
      <c r="R259" s="109"/>
      <c r="S259" s="109"/>
      <c r="T259" s="109"/>
      <c r="U259" s="92">
        <f t="shared" si="784"/>
        <v>89</v>
      </c>
      <c r="V259" s="91">
        <f t="shared" si="785"/>
        <v>89</v>
      </c>
      <c r="W259" s="93"/>
      <c r="X259" s="13">
        <f t="shared" si="786"/>
        <v>1.0000000000000037E-2</v>
      </c>
      <c r="Y259" s="17">
        <f t="shared" si="779"/>
        <v>0.84</v>
      </c>
      <c r="Z259" s="65">
        <f t="shared" si="780"/>
        <v>74.759999999999991</v>
      </c>
      <c r="AA259" s="17">
        <v>0.15</v>
      </c>
      <c r="AB259" s="9">
        <f t="shared" si="781"/>
        <v>13.35</v>
      </c>
      <c r="AC259" s="17"/>
      <c r="AD259" s="5"/>
      <c r="AE259" s="17"/>
      <c r="AG259" s="18"/>
      <c r="AH259" s="44"/>
      <c r="AJ259" s="44"/>
      <c r="AK259" s="18"/>
      <c r="AL259" s="44"/>
      <c r="AM259" s="18"/>
      <c r="AN259" s="5"/>
      <c r="AO259" s="18"/>
      <c r="AP259" s="5"/>
      <c r="AR259" s="5"/>
      <c r="AS259" s="18"/>
      <c r="AT259" s="5"/>
      <c r="AU259" s="73">
        <f t="shared" si="787"/>
        <v>0.89000000000000323</v>
      </c>
    </row>
    <row r="260" spans="1:47" x14ac:dyDescent="0.25">
      <c r="A260" s="9"/>
      <c r="C260" s="9"/>
      <c r="D260" s="9"/>
      <c r="E260" s="9"/>
      <c r="F260" s="8"/>
      <c r="G260" s="8"/>
      <c r="H260" s="8"/>
      <c r="I260" s="9"/>
      <c r="J260" s="4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75"/>
      <c r="V260" s="9"/>
      <c r="W260" s="10"/>
      <c r="X260" s="13"/>
      <c r="Y260" s="17"/>
      <c r="Z260" s="65"/>
      <c r="AA260" s="17"/>
      <c r="AB260" s="5"/>
      <c r="AC260" s="67"/>
      <c r="AD260" s="10"/>
      <c r="AE260" s="67"/>
      <c r="AF260" s="10"/>
      <c r="AG260" s="67"/>
      <c r="AI260" s="48"/>
      <c r="AK260" s="67"/>
      <c r="AM260" s="67"/>
      <c r="AN260" s="10"/>
      <c r="AO260" s="67"/>
      <c r="AP260" s="10"/>
      <c r="AQ260" s="17"/>
      <c r="AR260" s="10"/>
      <c r="AS260" s="67"/>
      <c r="AT260" s="10"/>
    </row>
    <row r="261" spans="1:47" x14ac:dyDescent="0.25">
      <c r="A261" s="21"/>
      <c r="C261" s="9"/>
      <c r="D261" s="10"/>
      <c r="E261" s="10"/>
      <c r="F261" s="97" t="s">
        <v>116</v>
      </c>
      <c r="G261" s="91" t="s">
        <v>46</v>
      </c>
      <c r="H261" s="97" t="s">
        <v>39</v>
      </c>
      <c r="I261" s="9" t="s">
        <v>11</v>
      </c>
      <c r="K261" s="9"/>
      <c r="L261" s="9"/>
      <c r="M261" s="9"/>
      <c r="N261" s="9"/>
      <c r="O261" s="72">
        <f t="shared" si="775"/>
        <v>0</v>
      </c>
      <c r="P261" s="9"/>
      <c r="Q261" s="9"/>
      <c r="R261" s="109"/>
      <c r="S261" s="109"/>
      <c r="T261" s="109"/>
      <c r="U261" s="110">
        <f t="shared" si="776"/>
        <v>0</v>
      </c>
      <c r="V261" s="109">
        <f t="shared" si="777"/>
        <v>0</v>
      </c>
      <c r="W261" s="111"/>
      <c r="X261" s="13">
        <f t="shared" si="778"/>
        <v>1.0000000000000037E-2</v>
      </c>
      <c r="Y261" s="17">
        <f t="shared" ref="Y261:Y268" si="788">(99%-AA261-AC261-AE261-AG261-AI261-AK261-AM261-AO261-AQ261)</f>
        <v>0.84</v>
      </c>
      <c r="Z261" s="65">
        <f t="shared" ref="Z261:Z268" si="789">(V261*Y261)+Q261+R261</f>
        <v>0</v>
      </c>
      <c r="AA261" s="17">
        <v>0.15</v>
      </c>
      <c r="AB261" s="9">
        <f t="shared" ref="AB261:AB268" si="790">(V261*AA261)</f>
        <v>0</v>
      </c>
      <c r="AC261" s="17"/>
      <c r="AD261" s="5"/>
      <c r="AE261" s="17"/>
      <c r="AG261" s="18"/>
      <c r="AH261" s="44"/>
      <c r="AJ261" s="44"/>
      <c r="AK261" s="18"/>
      <c r="AL261" s="44"/>
      <c r="AM261" s="18"/>
      <c r="AN261" s="5"/>
      <c r="AO261" s="18"/>
      <c r="AP261" s="5"/>
      <c r="AR261" s="5"/>
      <c r="AS261" s="18"/>
      <c r="AT261" s="5"/>
      <c r="AU261" s="73">
        <f t="shared" ref="AU261:AU268" si="791">V261*X261</f>
        <v>0</v>
      </c>
    </row>
    <row r="262" spans="1:47" x14ac:dyDescent="0.25">
      <c r="A262" s="21"/>
      <c r="C262" s="9"/>
      <c r="D262" s="10"/>
      <c r="E262" s="10"/>
      <c r="F262" s="97" t="s">
        <v>116</v>
      </c>
      <c r="G262" s="91" t="s">
        <v>46</v>
      </c>
      <c r="H262" s="97" t="s">
        <v>117</v>
      </c>
      <c r="I262" s="9" t="s">
        <v>11</v>
      </c>
      <c r="K262" s="9"/>
      <c r="L262" s="9"/>
      <c r="M262" s="9"/>
      <c r="N262" s="9"/>
      <c r="O262" s="72">
        <f t="shared" si="775"/>
        <v>0</v>
      </c>
      <c r="P262" s="9"/>
      <c r="Q262" s="9"/>
      <c r="R262" s="109"/>
      <c r="S262" s="109"/>
      <c r="T262" s="109"/>
      <c r="U262" s="110">
        <f t="shared" si="776"/>
        <v>0</v>
      </c>
      <c r="V262" s="109">
        <f t="shared" si="777"/>
        <v>0</v>
      </c>
      <c r="W262" s="111"/>
      <c r="X262" s="13">
        <f t="shared" si="778"/>
        <v>1.0000000000000037E-2</v>
      </c>
      <c r="Y262" s="17">
        <f t="shared" si="788"/>
        <v>0.84</v>
      </c>
      <c r="Z262" s="65">
        <f t="shared" si="789"/>
        <v>0</v>
      </c>
      <c r="AA262" s="17">
        <v>0.15</v>
      </c>
      <c r="AB262" s="9">
        <f t="shared" si="790"/>
        <v>0</v>
      </c>
      <c r="AC262" s="17"/>
      <c r="AD262" s="5"/>
      <c r="AE262" s="17"/>
      <c r="AG262" s="18"/>
      <c r="AH262" s="44"/>
      <c r="AJ262" s="44"/>
      <c r="AK262" s="18"/>
      <c r="AL262" s="44"/>
      <c r="AM262" s="18"/>
      <c r="AN262" s="5"/>
      <c r="AO262" s="18"/>
      <c r="AP262" s="5"/>
      <c r="AR262" s="5"/>
      <c r="AS262" s="18"/>
      <c r="AT262" s="5"/>
      <c r="AU262" s="73">
        <f t="shared" si="791"/>
        <v>0</v>
      </c>
    </row>
    <row r="263" spans="1:47" x14ac:dyDescent="0.25">
      <c r="A263" s="21"/>
      <c r="C263" s="9"/>
      <c r="D263" s="10"/>
      <c r="E263" s="10"/>
      <c r="F263" s="97" t="s">
        <v>116</v>
      </c>
      <c r="G263" s="91" t="s">
        <v>46</v>
      </c>
      <c r="H263" s="97" t="s">
        <v>21</v>
      </c>
      <c r="I263" s="9" t="s">
        <v>11</v>
      </c>
      <c r="J263" s="5">
        <v>140</v>
      </c>
      <c r="L263" s="9"/>
      <c r="M263" s="9"/>
      <c r="N263" s="9"/>
      <c r="O263" s="72">
        <f t="shared" si="775"/>
        <v>0</v>
      </c>
      <c r="P263" s="9"/>
      <c r="Q263" s="9"/>
      <c r="R263" s="109"/>
      <c r="S263" s="109"/>
      <c r="T263" s="109"/>
      <c r="U263" s="110">
        <f t="shared" si="776"/>
        <v>0</v>
      </c>
      <c r="V263" s="109">
        <f t="shared" si="777"/>
        <v>0</v>
      </c>
      <c r="W263" s="111"/>
      <c r="X263" s="13">
        <f t="shared" si="778"/>
        <v>1.0000000000000037E-2</v>
      </c>
      <c r="Y263" s="17">
        <f t="shared" si="788"/>
        <v>0.84</v>
      </c>
      <c r="Z263" s="65">
        <f t="shared" si="789"/>
        <v>0</v>
      </c>
      <c r="AA263" s="17">
        <v>0.15</v>
      </c>
      <c r="AB263" s="9">
        <f t="shared" si="790"/>
        <v>0</v>
      </c>
      <c r="AC263" s="17"/>
      <c r="AD263" s="5"/>
      <c r="AE263" s="17"/>
      <c r="AG263" s="18"/>
      <c r="AH263" s="44"/>
      <c r="AJ263" s="44"/>
      <c r="AK263" s="18"/>
      <c r="AL263" s="44"/>
      <c r="AM263" s="18"/>
      <c r="AN263" s="5"/>
      <c r="AO263" s="18"/>
      <c r="AP263" s="5"/>
      <c r="AR263" s="5"/>
      <c r="AS263" s="18"/>
      <c r="AT263" s="5"/>
      <c r="AU263" s="73">
        <f t="shared" si="791"/>
        <v>0</v>
      </c>
    </row>
    <row r="264" spans="1:47" x14ac:dyDescent="0.25">
      <c r="A264" s="21"/>
      <c r="C264" s="9"/>
      <c r="D264" s="10"/>
      <c r="E264" s="10"/>
      <c r="F264" s="97" t="s">
        <v>116</v>
      </c>
      <c r="G264" s="91" t="s">
        <v>46</v>
      </c>
      <c r="H264" s="97" t="s">
        <v>120</v>
      </c>
      <c r="I264" s="9" t="s">
        <v>11</v>
      </c>
      <c r="J264" s="5">
        <v>350</v>
      </c>
      <c r="L264" s="9"/>
      <c r="M264" s="9"/>
      <c r="N264" s="9"/>
      <c r="O264" s="72">
        <f t="shared" si="775"/>
        <v>0</v>
      </c>
      <c r="P264" s="9"/>
      <c r="Q264" s="9"/>
      <c r="R264" s="109"/>
      <c r="S264" s="109"/>
      <c r="T264" s="109"/>
      <c r="U264" s="110">
        <f t="shared" si="776"/>
        <v>0</v>
      </c>
      <c r="V264" s="109">
        <f t="shared" si="777"/>
        <v>0</v>
      </c>
      <c r="W264" s="111"/>
      <c r="X264" s="13">
        <f t="shared" si="778"/>
        <v>1.0000000000000037E-2</v>
      </c>
      <c r="Y264" s="17">
        <f t="shared" si="788"/>
        <v>0.84</v>
      </c>
      <c r="Z264" s="65">
        <f t="shared" si="789"/>
        <v>0</v>
      </c>
      <c r="AA264" s="17">
        <v>0.15</v>
      </c>
      <c r="AB264" s="9">
        <f t="shared" si="790"/>
        <v>0</v>
      </c>
      <c r="AC264" s="17"/>
      <c r="AD264" s="5"/>
      <c r="AE264" s="17"/>
      <c r="AG264" s="18"/>
      <c r="AH264" s="44"/>
      <c r="AJ264" s="44"/>
      <c r="AK264" s="18"/>
      <c r="AL264" s="44"/>
      <c r="AM264" s="18"/>
      <c r="AN264" s="5"/>
      <c r="AO264" s="18"/>
      <c r="AP264" s="5"/>
      <c r="AR264" s="5"/>
      <c r="AS264" s="18"/>
      <c r="AT264" s="5"/>
      <c r="AU264" s="73">
        <f t="shared" si="791"/>
        <v>0</v>
      </c>
    </row>
    <row r="265" spans="1:47" x14ac:dyDescent="0.25">
      <c r="A265" s="21"/>
      <c r="C265" s="9"/>
      <c r="D265" s="10"/>
      <c r="E265" s="10"/>
      <c r="F265" s="97" t="s">
        <v>116</v>
      </c>
      <c r="G265" s="91" t="s">
        <v>46</v>
      </c>
      <c r="H265" s="97" t="s">
        <v>184</v>
      </c>
      <c r="I265" s="9" t="s">
        <v>11</v>
      </c>
      <c r="K265" s="9"/>
      <c r="L265" s="9"/>
      <c r="M265" s="9"/>
      <c r="N265" s="9"/>
      <c r="O265" s="72">
        <f t="shared" ref="O265" si="792">M265-N265</f>
        <v>0</v>
      </c>
      <c r="P265" s="9"/>
      <c r="Q265" s="9"/>
      <c r="R265" s="109"/>
      <c r="S265" s="109"/>
      <c r="T265" s="109"/>
      <c r="U265" s="110">
        <f t="shared" ref="U265" si="793">O265-P265-Q265-R265-S265-T265</f>
        <v>0</v>
      </c>
      <c r="V265" s="109">
        <f t="shared" ref="V265" si="794">U265-B265-D265</f>
        <v>0</v>
      </c>
      <c r="W265" s="111"/>
      <c r="X265" s="13">
        <f t="shared" ref="X265" si="795">100%-Y265-AA265-AC265-AE265-AG265-AI265-AK265-AM265-AO265-AQ265</f>
        <v>1.0000000000000037E-2</v>
      </c>
      <c r="Y265" s="17">
        <f t="shared" si="788"/>
        <v>0.84</v>
      </c>
      <c r="Z265" s="65">
        <f t="shared" si="789"/>
        <v>0</v>
      </c>
      <c r="AA265" s="17">
        <v>0.15</v>
      </c>
      <c r="AB265" s="9">
        <f t="shared" si="790"/>
        <v>0</v>
      </c>
      <c r="AC265" s="17"/>
      <c r="AD265" s="5"/>
      <c r="AE265" s="17"/>
      <c r="AG265" s="18"/>
      <c r="AH265" s="44"/>
      <c r="AJ265" s="44"/>
      <c r="AK265" s="18"/>
      <c r="AL265" s="44"/>
      <c r="AM265" s="18"/>
      <c r="AN265" s="5"/>
      <c r="AO265" s="18"/>
      <c r="AP265" s="5"/>
      <c r="AR265" s="5"/>
      <c r="AS265" s="18"/>
      <c r="AT265" s="5"/>
      <c r="AU265" s="73">
        <f t="shared" si="791"/>
        <v>0</v>
      </c>
    </row>
    <row r="266" spans="1:47" x14ac:dyDescent="0.25">
      <c r="A266" s="21"/>
      <c r="C266" s="9"/>
      <c r="D266" s="10"/>
      <c r="E266" s="10"/>
      <c r="F266" s="97" t="s">
        <v>116</v>
      </c>
      <c r="G266" s="91" t="s">
        <v>46</v>
      </c>
      <c r="H266" s="97" t="s">
        <v>51</v>
      </c>
      <c r="I266" s="9" t="s">
        <v>11</v>
      </c>
      <c r="K266" s="9"/>
      <c r="L266" s="9"/>
      <c r="M266" s="9"/>
      <c r="N266" s="9"/>
      <c r="O266" s="72">
        <f t="shared" si="775"/>
        <v>0</v>
      </c>
      <c r="P266" s="9"/>
      <c r="Q266" s="9"/>
      <c r="R266" s="109"/>
      <c r="S266" s="109"/>
      <c r="T266" s="109"/>
      <c r="U266" s="110">
        <f t="shared" si="776"/>
        <v>0</v>
      </c>
      <c r="V266" s="109">
        <f t="shared" si="777"/>
        <v>0</v>
      </c>
      <c r="W266" s="111"/>
      <c r="X266" s="13">
        <f t="shared" si="778"/>
        <v>1.0000000000000037E-2</v>
      </c>
      <c r="Y266" s="17">
        <f t="shared" si="788"/>
        <v>0.84</v>
      </c>
      <c r="Z266" s="65">
        <f t="shared" si="789"/>
        <v>0</v>
      </c>
      <c r="AA266" s="17">
        <v>0.15</v>
      </c>
      <c r="AB266" s="9">
        <f t="shared" si="790"/>
        <v>0</v>
      </c>
      <c r="AC266" s="17"/>
      <c r="AD266" s="5"/>
      <c r="AE266" s="17"/>
      <c r="AG266" s="18"/>
      <c r="AH266" s="44"/>
      <c r="AJ266" s="44"/>
      <c r="AK266" s="18"/>
      <c r="AL266" s="44"/>
      <c r="AM266" s="18"/>
      <c r="AN266" s="5"/>
      <c r="AO266" s="18"/>
      <c r="AP266" s="5"/>
      <c r="AR266" s="5"/>
      <c r="AS266" s="18"/>
      <c r="AT266" s="5"/>
      <c r="AU266" s="73">
        <f t="shared" si="791"/>
        <v>0</v>
      </c>
    </row>
    <row r="267" spans="1:47" x14ac:dyDescent="0.25">
      <c r="A267" s="21"/>
      <c r="C267" s="9"/>
      <c r="D267" s="10"/>
      <c r="E267" s="10"/>
      <c r="F267" s="97" t="s">
        <v>116</v>
      </c>
      <c r="G267" s="91" t="s">
        <v>46</v>
      </c>
      <c r="H267" s="97" t="s">
        <v>118</v>
      </c>
      <c r="I267" s="9" t="s">
        <v>11</v>
      </c>
      <c r="K267" s="9"/>
      <c r="L267" s="9"/>
      <c r="M267" s="9"/>
      <c r="N267" s="9"/>
      <c r="O267" s="72">
        <f t="shared" si="775"/>
        <v>0</v>
      </c>
      <c r="P267" s="9"/>
      <c r="Q267" s="9"/>
      <c r="R267" s="109"/>
      <c r="S267" s="109"/>
      <c r="T267" s="109"/>
      <c r="U267" s="110">
        <f t="shared" si="776"/>
        <v>0</v>
      </c>
      <c r="V267" s="109">
        <f t="shared" si="777"/>
        <v>0</v>
      </c>
      <c r="W267" s="111"/>
      <c r="X267" s="13">
        <f t="shared" si="778"/>
        <v>1.0000000000000037E-2</v>
      </c>
      <c r="Y267" s="17">
        <f t="shared" si="788"/>
        <v>0.84</v>
      </c>
      <c r="Z267" s="65">
        <f t="shared" si="789"/>
        <v>0</v>
      </c>
      <c r="AA267" s="17">
        <v>0.15</v>
      </c>
      <c r="AB267" s="9">
        <f t="shared" si="790"/>
        <v>0</v>
      </c>
      <c r="AC267" s="17"/>
      <c r="AD267" s="5"/>
      <c r="AE267" s="17"/>
      <c r="AG267" s="18"/>
      <c r="AH267" s="44"/>
      <c r="AJ267" s="44"/>
      <c r="AK267" s="18"/>
      <c r="AL267" s="44"/>
      <c r="AM267" s="18"/>
      <c r="AN267" s="5"/>
      <c r="AO267" s="18"/>
      <c r="AP267" s="5"/>
      <c r="AR267" s="5"/>
      <c r="AS267" s="18"/>
      <c r="AT267" s="5"/>
      <c r="AU267" s="73">
        <f t="shared" si="791"/>
        <v>0</v>
      </c>
    </row>
    <row r="268" spans="1:47" x14ac:dyDescent="0.25">
      <c r="A268" s="21"/>
      <c r="C268" s="9"/>
      <c r="D268" s="10"/>
      <c r="E268" s="10"/>
      <c r="F268" s="97" t="s">
        <v>116</v>
      </c>
      <c r="G268" s="91" t="s">
        <v>46</v>
      </c>
      <c r="H268" s="97" t="s">
        <v>119</v>
      </c>
      <c r="I268" s="9" t="s">
        <v>11</v>
      </c>
      <c r="K268" s="9"/>
      <c r="L268" s="9"/>
      <c r="M268" s="9"/>
      <c r="N268" s="9"/>
      <c r="O268" s="72">
        <f t="shared" si="775"/>
        <v>0</v>
      </c>
      <c r="P268" s="9"/>
      <c r="Q268" s="9"/>
      <c r="R268" s="109"/>
      <c r="S268" s="109"/>
      <c r="T268" s="109"/>
      <c r="U268" s="110">
        <f t="shared" si="776"/>
        <v>0</v>
      </c>
      <c r="V268" s="109">
        <f t="shared" si="777"/>
        <v>0</v>
      </c>
      <c r="W268" s="111"/>
      <c r="X268" s="13">
        <f t="shared" si="778"/>
        <v>1.0000000000000037E-2</v>
      </c>
      <c r="Y268" s="17">
        <f t="shared" si="788"/>
        <v>0.84</v>
      </c>
      <c r="Z268" s="65">
        <f t="shared" si="789"/>
        <v>0</v>
      </c>
      <c r="AA268" s="17">
        <v>0.15</v>
      </c>
      <c r="AB268" s="9">
        <f t="shared" si="790"/>
        <v>0</v>
      </c>
      <c r="AC268" s="17"/>
      <c r="AD268" s="5"/>
      <c r="AE268" s="17"/>
      <c r="AG268" s="18"/>
      <c r="AH268" s="44"/>
      <c r="AJ268" s="44"/>
      <c r="AK268" s="18"/>
      <c r="AL268" s="44"/>
      <c r="AM268" s="18"/>
      <c r="AN268" s="5"/>
      <c r="AO268" s="18"/>
      <c r="AP268" s="5"/>
      <c r="AR268" s="5"/>
      <c r="AS268" s="18"/>
      <c r="AT268" s="5"/>
      <c r="AU268" s="73">
        <f t="shared" si="791"/>
        <v>0</v>
      </c>
    </row>
    <row r="269" spans="1:47" x14ac:dyDescent="0.25">
      <c r="A269" s="9"/>
      <c r="C269" s="9"/>
      <c r="D269" s="9"/>
      <c r="E269" s="9"/>
      <c r="F269" s="8"/>
      <c r="G269" s="8"/>
      <c r="H269" s="8"/>
      <c r="I269" s="9"/>
      <c r="J269" s="4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75"/>
      <c r="V269" s="9"/>
      <c r="W269" s="10"/>
      <c r="X269" s="13"/>
      <c r="Y269" s="17"/>
      <c r="Z269" s="65"/>
      <c r="AA269" s="17"/>
      <c r="AB269" s="5"/>
      <c r="AC269" s="67"/>
      <c r="AD269" s="10"/>
      <c r="AE269" s="67"/>
      <c r="AF269" s="10"/>
      <c r="AG269" s="67"/>
      <c r="AI269" s="48"/>
      <c r="AK269" s="67"/>
      <c r="AM269" s="67"/>
      <c r="AN269" s="10"/>
      <c r="AO269" s="67"/>
      <c r="AP269" s="10"/>
      <c r="AQ269" s="17"/>
      <c r="AR269" s="10"/>
      <c r="AS269" s="67"/>
      <c r="AT269" s="10"/>
    </row>
    <row r="270" spans="1:47" x14ac:dyDescent="0.25">
      <c r="A270" s="21"/>
      <c r="C270" s="9"/>
      <c r="D270" s="10"/>
      <c r="E270" s="10"/>
      <c r="F270" s="97" t="s">
        <v>124</v>
      </c>
      <c r="G270" s="91" t="s">
        <v>46</v>
      </c>
      <c r="H270" s="97" t="s">
        <v>125</v>
      </c>
      <c r="I270" s="9" t="s">
        <v>11</v>
      </c>
      <c r="J270" s="42">
        <v>2100</v>
      </c>
      <c r="K270" s="85">
        <v>0.1</v>
      </c>
      <c r="L270" s="9">
        <f t="shared" ref="L270:L280" si="796">J270*K270</f>
        <v>210</v>
      </c>
      <c r="M270" s="9"/>
      <c r="N270" s="9"/>
      <c r="O270" s="72">
        <f t="shared" ref="O270:O280" si="797">M270-N270</f>
        <v>0</v>
      </c>
      <c r="P270" s="9"/>
      <c r="Q270" s="9"/>
      <c r="R270" s="109"/>
      <c r="S270" s="109"/>
      <c r="T270" s="109"/>
      <c r="U270" s="92">
        <f t="shared" ref="U270:U280" si="798">O270-P270-Q270-R270-S270-T270</f>
        <v>0</v>
      </c>
      <c r="V270" s="91">
        <f t="shared" ref="V270:V280" si="799">U270-B270-D270</f>
        <v>0</v>
      </c>
      <c r="W270" s="93"/>
      <c r="X270" s="13">
        <f t="shared" ref="X270:X280" si="800">100%-Y270-AA270-AC270-AE270-AG270-AI270-AK270-AM270-AO270-AQ270</f>
        <v>1.0000000000000037E-2</v>
      </c>
      <c r="Y270" s="17">
        <f t="shared" ref="Y270:Y280" si="801">(99%-AA270-AC270-AE270-AG270-AI270-AK270-AM270-AO270-AQ270)</f>
        <v>0.84</v>
      </c>
      <c r="Z270" s="65">
        <f t="shared" ref="Z270:Z280" si="802">(V270*Y270)+Q270+R270</f>
        <v>0</v>
      </c>
      <c r="AA270" s="17">
        <v>0.15</v>
      </c>
      <c r="AB270" s="9">
        <f t="shared" ref="AB270:AB280" si="803">(V270*AA270)</f>
        <v>0</v>
      </c>
      <c r="AC270" s="17"/>
      <c r="AD270" s="5"/>
      <c r="AE270" s="17"/>
      <c r="AG270" s="18"/>
      <c r="AH270" s="44"/>
      <c r="AJ270" s="44"/>
      <c r="AK270" s="18"/>
      <c r="AL270" s="44"/>
      <c r="AM270" s="18"/>
      <c r="AN270" s="5"/>
      <c r="AO270" s="18"/>
      <c r="AP270" s="5"/>
      <c r="AR270" s="5"/>
      <c r="AS270" s="18"/>
      <c r="AT270" s="5"/>
      <c r="AU270" s="73">
        <f t="shared" ref="AU270:AU280" si="804">V270*X270</f>
        <v>0</v>
      </c>
    </row>
    <row r="271" spans="1:47" x14ac:dyDescent="0.25">
      <c r="A271" s="21"/>
      <c r="C271" s="9"/>
      <c r="D271" s="10"/>
      <c r="E271" s="10"/>
      <c r="F271" s="97" t="s">
        <v>124</v>
      </c>
      <c r="G271" s="91" t="s">
        <v>46</v>
      </c>
      <c r="H271" s="97" t="s">
        <v>90</v>
      </c>
      <c r="I271" s="9" t="s">
        <v>11</v>
      </c>
      <c r="J271" s="5">
        <v>3450</v>
      </c>
      <c r="K271" s="85">
        <v>0.1</v>
      </c>
      <c r="L271" s="9">
        <f t="shared" si="796"/>
        <v>345</v>
      </c>
      <c r="M271" s="9"/>
      <c r="N271" s="9"/>
      <c r="O271" s="72">
        <f t="shared" si="797"/>
        <v>0</v>
      </c>
      <c r="P271" s="9"/>
      <c r="Q271" s="9"/>
      <c r="R271" s="109"/>
      <c r="S271" s="109"/>
      <c r="T271" s="109"/>
      <c r="U271" s="92">
        <f t="shared" si="798"/>
        <v>0</v>
      </c>
      <c r="V271" s="91">
        <f t="shared" si="799"/>
        <v>0</v>
      </c>
      <c r="W271" s="93"/>
      <c r="X271" s="13">
        <f t="shared" si="800"/>
        <v>1.0000000000000037E-2</v>
      </c>
      <c r="Y271" s="17">
        <f t="shared" si="801"/>
        <v>0.84</v>
      </c>
      <c r="Z271" s="65">
        <f t="shared" si="802"/>
        <v>0</v>
      </c>
      <c r="AA271" s="17">
        <v>0.15</v>
      </c>
      <c r="AB271" s="9">
        <f t="shared" si="803"/>
        <v>0</v>
      </c>
      <c r="AC271" s="17"/>
      <c r="AD271" s="5"/>
      <c r="AE271" s="17"/>
      <c r="AG271" s="18"/>
      <c r="AH271" s="44"/>
      <c r="AJ271" s="44"/>
      <c r="AK271" s="18"/>
      <c r="AL271" s="44"/>
      <c r="AM271" s="18"/>
      <c r="AN271" s="5"/>
      <c r="AO271" s="18"/>
      <c r="AP271" s="5"/>
      <c r="AR271" s="5"/>
      <c r="AS271" s="18"/>
      <c r="AT271" s="5"/>
      <c r="AU271" s="73">
        <f t="shared" si="804"/>
        <v>0</v>
      </c>
    </row>
    <row r="272" spans="1:47" x14ac:dyDescent="0.25">
      <c r="A272" s="21"/>
      <c r="C272" s="9"/>
      <c r="D272" s="10"/>
      <c r="E272" s="10"/>
      <c r="F272" s="97" t="s">
        <v>124</v>
      </c>
      <c r="G272" s="91" t="s">
        <v>46</v>
      </c>
      <c r="H272" s="97" t="s">
        <v>52</v>
      </c>
      <c r="I272" s="9" t="s">
        <v>3</v>
      </c>
      <c r="J272" s="5">
        <v>2100</v>
      </c>
      <c r="K272" s="85">
        <v>0.1</v>
      </c>
      <c r="L272" s="9">
        <f t="shared" si="796"/>
        <v>210</v>
      </c>
      <c r="M272" s="9"/>
      <c r="N272" s="9"/>
      <c r="O272" s="72">
        <f t="shared" si="797"/>
        <v>0</v>
      </c>
      <c r="P272" s="9"/>
      <c r="Q272" s="9"/>
      <c r="R272" s="109"/>
      <c r="S272" s="109"/>
      <c r="T272" s="109"/>
      <c r="U272" s="92">
        <f t="shared" si="798"/>
        <v>0</v>
      </c>
      <c r="V272" s="91">
        <f t="shared" si="799"/>
        <v>0</v>
      </c>
      <c r="W272" s="93"/>
      <c r="X272" s="13">
        <f t="shared" si="800"/>
        <v>1.0000000000000037E-2</v>
      </c>
      <c r="Y272" s="17">
        <f t="shared" si="801"/>
        <v>0.84</v>
      </c>
      <c r="Z272" s="65">
        <f t="shared" si="802"/>
        <v>0</v>
      </c>
      <c r="AA272" s="17">
        <v>0.15</v>
      </c>
      <c r="AB272" s="9">
        <f t="shared" si="803"/>
        <v>0</v>
      </c>
      <c r="AC272" s="17"/>
      <c r="AD272" s="5"/>
      <c r="AE272" s="17"/>
      <c r="AG272" s="18"/>
      <c r="AH272" s="44"/>
      <c r="AJ272" s="44"/>
      <c r="AK272" s="18"/>
      <c r="AL272" s="44"/>
      <c r="AM272" s="18"/>
      <c r="AN272" s="5"/>
      <c r="AO272" s="18"/>
      <c r="AP272" s="5"/>
      <c r="AR272" s="5"/>
      <c r="AS272" s="18"/>
      <c r="AT272" s="5"/>
      <c r="AU272" s="73">
        <f t="shared" si="804"/>
        <v>0</v>
      </c>
    </row>
    <row r="273" spans="1:47" x14ac:dyDescent="0.25">
      <c r="A273" s="21"/>
      <c r="C273" s="9"/>
      <c r="D273" s="10"/>
      <c r="E273" s="10"/>
      <c r="F273" s="97" t="s">
        <v>124</v>
      </c>
      <c r="G273" s="91" t="s">
        <v>46</v>
      </c>
      <c r="H273" s="97" t="s">
        <v>136</v>
      </c>
      <c r="I273" s="9" t="s">
        <v>11</v>
      </c>
      <c r="J273" s="9">
        <v>1000</v>
      </c>
      <c r="K273" s="85">
        <v>0.1</v>
      </c>
      <c r="L273" s="9">
        <f t="shared" si="796"/>
        <v>100</v>
      </c>
      <c r="M273" s="9"/>
      <c r="N273" s="9"/>
      <c r="O273" s="72">
        <f t="shared" si="797"/>
        <v>0</v>
      </c>
      <c r="P273" s="9"/>
      <c r="Q273" s="9"/>
      <c r="R273" s="109"/>
      <c r="S273" s="109"/>
      <c r="T273" s="109"/>
      <c r="U273" s="92">
        <f t="shared" si="798"/>
        <v>0</v>
      </c>
      <c r="V273" s="91">
        <f t="shared" si="799"/>
        <v>0</v>
      </c>
      <c r="W273" s="93"/>
      <c r="X273" s="13">
        <f t="shared" si="800"/>
        <v>1.0000000000000037E-2</v>
      </c>
      <c r="Y273" s="17">
        <f t="shared" si="801"/>
        <v>0.84</v>
      </c>
      <c r="Z273" s="65">
        <f t="shared" si="802"/>
        <v>0</v>
      </c>
      <c r="AA273" s="17">
        <v>0.15</v>
      </c>
      <c r="AB273" s="9">
        <f t="shared" si="803"/>
        <v>0</v>
      </c>
      <c r="AC273" s="17"/>
      <c r="AD273" s="5"/>
      <c r="AE273" s="17"/>
      <c r="AG273" s="18"/>
      <c r="AH273" s="44"/>
      <c r="AJ273" s="44"/>
      <c r="AK273" s="18"/>
      <c r="AL273" s="44"/>
      <c r="AM273" s="18"/>
      <c r="AN273" s="5"/>
      <c r="AO273" s="18"/>
      <c r="AP273" s="5"/>
      <c r="AR273" s="5"/>
      <c r="AS273" s="18"/>
      <c r="AT273" s="5"/>
      <c r="AU273" s="73">
        <f t="shared" si="804"/>
        <v>0</v>
      </c>
    </row>
    <row r="274" spans="1:47" x14ac:dyDescent="0.25">
      <c r="A274" s="21"/>
      <c r="C274" s="9"/>
      <c r="D274" s="10"/>
      <c r="E274" s="10"/>
      <c r="F274" s="97" t="s">
        <v>124</v>
      </c>
      <c r="G274" s="91" t="s">
        <v>46</v>
      </c>
      <c r="H274" s="97" t="s">
        <v>126</v>
      </c>
      <c r="I274" s="9" t="s">
        <v>11</v>
      </c>
      <c r="J274" s="5">
        <v>2000</v>
      </c>
      <c r="K274" s="85">
        <v>0.1</v>
      </c>
      <c r="L274" s="9">
        <f t="shared" si="796"/>
        <v>200</v>
      </c>
      <c r="M274" s="9"/>
      <c r="N274" s="9"/>
      <c r="O274" s="72">
        <f t="shared" si="797"/>
        <v>0</v>
      </c>
      <c r="P274" s="9"/>
      <c r="Q274" s="9"/>
      <c r="R274" s="109"/>
      <c r="S274" s="109"/>
      <c r="T274" s="109"/>
      <c r="U274" s="92">
        <f t="shared" si="798"/>
        <v>0</v>
      </c>
      <c r="V274" s="91">
        <f t="shared" si="799"/>
        <v>0</v>
      </c>
      <c r="W274" s="93"/>
      <c r="X274" s="13">
        <f t="shared" si="800"/>
        <v>1.0000000000000037E-2</v>
      </c>
      <c r="Y274" s="17">
        <f t="shared" si="801"/>
        <v>0.84</v>
      </c>
      <c r="Z274" s="65">
        <f t="shared" si="802"/>
        <v>0</v>
      </c>
      <c r="AA274" s="17">
        <v>0.15</v>
      </c>
      <c r="AB274" s="9">
        <f t="shared" si="803"/>
        <v>0</v>
      </c>
      <c r="AC274" s="17"/>
      <c r="AD274" s="5"/>
      <c r="AE274" s="17"/>
      <c r="AG274" s="18"/>
      <c r="AH274" s="44"/>
      <c r="AJ274" s="44"/>
      <c r="AK274" s="18"/>
      <c r="AL274" s="44"/>
      <c r="AM274" s="18"/>
      <c r="AN274" s="5"/>
      <c r="AO274" s="18"/>
      <c r="AP274" s="5"/>
      <c r="AR274" s="5"/>
      <c r="AS274" s="18"/>
      <c r="AT274" s="5"/>
      <c r="AU274" s="73">
        <f t="shared" si="804"/>
        <v>0</v>
      </c>
    </row>
    <row r="275" spans="1:47" x14ac:dyDescent="0.25">
      <c r="A275" s="21"/>
      <c r="C275" s="9"/>
      <c r="D275" s="10"/>
      <c r="E275" s="10"/>
      <c r="F275" s="97" t="s">
        <v>124</v>
      </c>
      <c r="G275" s="91" t="s">
        <v>46</v>
      </c>
      <c r="H275" s="97" t="s">
        <v>137</v>
      </c>
      <c r="I275" s="9" t="s">
        <v>11</v>
      </c>
      <c r="J275" s="5">
        <v>500</v>
      </c>
      <c r="K275" s="85">
        <v>0.1</v>
      </c>
      <c r="L275" s="9">
        <f t="shared" si="796"/>
        <v>50</v>
      </c>
      <c r="M275" s="9"/>
      <c r="N275" s="9"/>
      <c r="O275" s="72">
        <f t="shared" si="797"/>
        <v>0</v>
      </c>
      <c r="P275" s="9"/>
      <c r="Q275" s="9"/>
      <c r="R275" s="109"/>
      <c r="S275" s="109"/>
      <c r="T275" s="109"/>
      <c r="U275" s="92">
        <f t="shared" si="798"/>
        <v>0</v>
      </c>
      <c r="V275" s="91">
        <f t="shared" si="799"/>
        <v>0</v>
      </c>
      <c r="W275" s="93"/>
      <c r="X275" s="13">
        <f t="shared" si="800"/>
        <v>1.0000000000000037E-2</v>
      </c>
      <c r="Y275" s="17">
        <f t="shared" si="801"/>
        <v>0.84</v>
      </c>
      <c r="Z275" s="65">
        <f t="shared" si="802"/>
        <v>0</v>
      </c>
      <c r="AA275" s="17">
        <v>0.15</v>
      </c>
      <c r="AB275" s="9">
        <f t="shared" si="803"/>
        <v>0</v>
      </c>
      <c r="AC275" s="17"/>
      <c r="AD275" s="5"/>
      <c r="AE275" s="17"/>
      <c r="AG275" s="18"/>
      <c r="AH275" s="44"/>
      <c r="AJ275" s="44"/>
      <c r="AK275" s="18"/>
      <c r="AL275" s="44"/>
      <c r="AM275" s="18"/>
      <c r="AN275" s="5"/>
      <c r="AO275" s="18"/>
      <c r="AP275" s="5"/>
      <c r="AR275" s="5"/>
      <c r="AS275" s="18"/>
      <c r="AT275" s="5"/>
      <c r="AU275" s="73">
        <f t="shared" si="804"/>
        <v>0</v>
      </c>
    </row>
    <row r="276" spans="1:47" x14ac:dyDescent="0.25">
      <c r="A276" s="21"/>
      <c r="C276" s="9"/>
      <c r="D276" s="10"/>
      <c r="E276" s="10"/>
      <c r="F276" s="97" t="s">
        <v>124</v>
      </c>
      <c r="G276" s="91" t="s">
        <v>46</v>
      </c>
      <c r="H276" s="97" t="s">
        <v>127</v>
      </c>
      <c r="I276" s="9" t="s">
        <v>11</v>
      </c>
      <c r="J276" s="5">
        <v>1200</v>
      </c>
      <c r="K276" s="85">
        <v>0.1</v>
      </c>
      <c r="L276" s="9">
        <f t="shared" si="796"/>
        <v>120</v>
      </c>
      <c r="M276" s="9"/>
      <c r="N276" s="9"/>
      <c r="O276" s="72">
        <f t="shared" si="797"/>
        <v>0</v>
      </c>
      <c r="P276" s="9"/>
      <c r="Q276" s="9"/>
      <c r="R276" s="109"/>
      <c r="S276" s="109"/>
      <c r="T276" s="109"/>
      <c r="U276" s="92">
        <f t="shared" si="798"/>
        <v>0</v>
      </c>
      <c r="V276" s="91">
        <f t="shared" si="799"/>
        <v>0</v>
      </c>
      <c r="W276" s="93"/>
      <c r="X276" s="13">
        <f t="shared" si="800"/>
        <v>1.0000000000000037E-2</v>
      </c>
      <c r="Y276" s="17">
        <f t="shared" si="801"/>
        <v>0.84</v>
      </c>
      <c r="Z276" s="65">
        <f t="shared" si="802"/>
        <v>0</v>
      </c>
      <c r="AA276" s="17">
        <v>0.15</v>
      </c>
      <c r="AB276" s="9">
        <f t="shared" si="803"/>
        <v>0</v>
      </c>
      <c r="AC276" s="17"/>
      <c r="AD276" s="5"/>
      <c r="AE276" s="17"/>
      <c r="AG276" s="18"/>
      <c r="AH276" s="44"/>
      <c r="AJ276" s="44"/>
      <c r="AK276" s="18"/>
      <c r="AL276" s="44"/>
      <c r="AM276" s="18"/>
      <c r="AN276" s="5"/>
      <c r="AO276" s="18"/>
      <c r="AP276" s="5"/>
      <c r="AR276" s="5"/>
      <c r="AS276" s="18"/>
      <c r="AT276" s="5"/>
      <c r="AU276" s="73">
        <f t="shared" si="804"/>
        <v>0</v>
      </c>
    </row>
    <row r="277" spans="1:47" x14ac:dyDescent="0.25">
      <c r="A277" s="21"/>
      <c r="C277" s="9"/>
      <c r="D277" s="10"/>
      <c r="E277" s="10"/>
      <c r="F277" s="97" t="s">
        <v>124</v>
      </c>
      <c r="G277" s="91" t="s">
        <v>46</v>
      </c>
      <c r="H277" s="97" t="s">
        <v>128</v>
      </c>
      <c r="I277" s="9" t="s">
        <v>11</v>
      </c>
      <c r="J277" s="5">
        <v>1200</v>
      </c>
      <c r="K277" s="85">
        <v>0.1</v>
      </c>
      <c r="L277" s="9">
        <f t="shared" si="796"/>
        <v>120</v>
      </c>
      <c r="M277" s="9"/>
      <c r="N277" s="9"/>
      <c r="O277" s="72">
        <f t="shared" si="797"/>
        <v>0</v>
      </c>
      <c r="P277" s="9"/>
      <c r="Q277" s="9"/>
      <c r="R277" s="109"/>
      <c r="S277" s="109"/>
      <c r="T277" s="109"/>
      <c r="U277" s="92">
        <f t="shared" si="798"/>
        <v>0</v>
      </c>
      <c r="V277" s="91">
        <f t="shared" si="799"/>
        <v>0</v>
      </c>
      <c r="W277" s="93"/>
      <c r="X277" s="13">
        <f t="shared" si="800"/>
        <v>1.0000000000000037E-2</v>
      </c>
      <c r="Y277" s="17">
        <f t="shared" si="801"/>
        <v>0.84</v>
      </c>
      <c r="Z277" s="65">
        <f t="shared" si="802"/>
        <v>0</v>
      </c>
      <c r="AA277" s="17">
        <v>0.15</v>
      </c>
      <c r="AB277" s="9">
        <f t="shared" si="803"/>
        <v>0</v>
      </c>
      <c r="AC277" s="17"/>
      <c r="AD277" s="5"/>
      <c r="AE277" s="17"/>
      <c r="AG277" s="18"/>
      <c r="AH277" s="44"/>
      <c r="AJ277" s="44"/>
      <c r="AK277" s="18"/>
      <c r="AL277" s="44"/>
      <c r="AM277" s="18"/>
      <c r="AN277" s="5"/>
      <c r="AO277" s="18"/>
      <c r="AP277" s="5"/>
      <c r="AR277" s="5"/>
      <c r="AS277" s="18"/>
      <c r="AT277" s="5"/>
      <c r="AU277" s="73">
        <f t="shared" si="804"/>
        <v>0</v>
      </c>
    </row>
    <row r="278" spans="1:47" x14ac:dyDescent="0.25">
      <c r="A278" s="21"/>
      <c r="C278" s="9"/>
      <c r="D278" s="10"/>
      <c r="E278" s="10"/>
      <c r="F278" s="97" t="s">
        <v>124</v>
      </c>
      <c r="G278" s="91" t="s">
        <v>46</v>
      </c>
      <c r="H278" s="97" t="s">
        <v>129</v>
      </c>
      <c r="I278" s="9" t="s">
        <v>11</v>
      </c>
      <c r="J278" s="5">
        <v>1200</v>
      </c>
      <c r="K278" s="85">
        <v>0.1</v>
      </c>
      <c r="L278" s="9">
        <f t="shared" si="796"/>
        <v>120</v>
      </c>
      <c r="M278" s="9"/>
      <c r="N278" s="9"/>
      <c r="O278" s="72">
        <f t="shared" si="797"/>
        <v>0</v>
      </c>
      <c r="P278" s="9"/>
      <c r="Q278" s="9"/>
      <c r="R278" s="109"/>
      <c r="S278" s="109"/>
      <c r="T278" s="109"/>
      <c r="U278" s="92">
        <f t="shared" si="798"/>
        <v>0</v>
      </c>
      <c r="V278" s="91">
        <f t="shared" si="799"/>
        <v>0</v>
      </c>
      <c r="W278" s="93"/>
      <c r="X278" s="13">
        <f t="shared" si="800"/>
        <v>1.0000000000000037E-2</v>
      </c>
      <c r="Y278" s="17">
        <f t="shared" si="801"/>
        <v>0.84</v>
      </c>
      <c r="Z278" s="65">
        <f t="shared" si="802"/>
        <v>0</v>
      </c>
      <c r="AA278" s="17">
        <v>0.15</v>
      </c>
      <c r="AB278" s="9">
        <f t="shared" si="803"/>
        <v>0</v>
      </c>
      <c r="AC278" s="17"/>
      <c r="AD278" s="5"/>
      <c r="AE278" s="17"/>
      <c r="AG278" s="18"/>
      <c r="AH278" s="44"/>
      <c r="AJ278" s="44"/>
      <c r="AK278" s="18"/>
      <c r="AL278" s="44"/>
      <c r="AM278" s="18"/>
      <c r="AN278" s="5"/>
      <c r="AO278" s="18"/>
      <c r="AP278" s="5"/>
      <c r="AR278" s="5"/>
      <c r="AS278" s="18"/>
      <c r="AT278" s="5"/>
      <c r="AU278" s="73">
        <f t="shared" si="804"/>
        <v>0</v>
      </c>
    </row>
    <row r="279" spans="1:47" x14ac:dyDescent="0.25">
      <c r="A279" s="21"/>
      <c r="C279" s="9"/>
      <c r="D279" s="10"/>
      <c r="E279" s="10"/>
      <c r="F279" s="97" t="s">
        <v>124</v>
      </c>
      <c r="G279" s="91" t="s">
        <v>46</v>
      </c>
      <c r="H279" s="97" t="s">
        <v>138</v>
      </c>
      <c r="I279" s="9" t="s">
        <v>11</v>
      </c>
      <c r="J279" s="5">
        <v>1200</v>
      </c>
      <c r="K279" s="85">
        <v>0.1</v>
      </c>
      <c r="L279" s="9">
        <f t="shared" si="796"/>
        <v>120</v>
      </c>
      <c r="M279" s="9"/>
      <c r="N279" s="9"/>
      <c r="O279" s="72">
        <f t="shared" si="797"/>
        <v>0</v>
      </c>
      <c r="P279" s="9"/>
      <c r="Q279" s="9"/>
      <c r="R279" s="109"/>
      <c r="S279" s="109"/>
      <c r="T279" s="109"/>
      <c r="U279" s="92">
        <f t="shared" si="798"/>
        <v>0</v>
      </c>
      <c r="V279" s="91">
        <f t="shared" si="799"/>
        <v>0</v>
      </c>
      <c r="W279" s="93"/>
      <c r="X279" s="13">
        <f t="shared" si="800"/>
        <v>1.0000000000000037E-2</v>
      </c>
      <c r="Y279" s="17">
        <f t="shared" si="801"/>
        <v>0.84</v>
      </c>
      <c r="Z279" s="65">
        <f t="shared" si="802"/>
        <v>0</v>
      </c>
      <c r="AA279" s="17">
        <v>0.15</v>
      </c>
      <c r="AB279" s="9">
        <f t="shared" si="803"/>
        <v>0</v>
      </c>
      <c r="AC279" s="17"/>
      <c r="AD279" s="5"/>
      <c r="AE279" s="17"/>
      <c r="AG279" s="18"/>
      <c r="AH279" s="44"/>
      <c r="AJ279" s="44"/>
      <c r="AK279" s="18"/>
      <c r="AL279" s="44"/>
      <c r="AM279" s="18"/>
      <c r="AN279" s="5"/>
      <c r="AO279" s="18"/>
      <c r="AP279" s="5"/>
      <c r="AR279" s="5"/>
      <c r="AS279" s="18"/>
      <c r="AT279" s="5"/>
      <c r="AU279" s="73">
        <f t="shared" si="804"/>
        <v>0</v>
      </c>
    </row>
    <row r="280" spans="1:47" x14ac:dyDescent="0.25">
      <c r="A280" s="21"/>
      <c r="C280" s="9"/>
      <c r="D280" s="10"/>
      <c r="E280" s="10"/>
      <c r="F280" s="97" t="s">
        <v>124</v>
      </c>
      <c r="G280" s="91" t="s">
        <v>46</v>
      </c>
      <c r="H280" s="97" t="s">
        <v>158</v>
      </c>
      <c r="I280" s="9" t="s">
        <v>11</v>
      </c>
      <c r="J280" s="5">
        <v>1200</v>
      </c>
      <c r="K280" s="85">
        <v>0.1</v>
      </c>
      <c r="L280" s="9">
        <f t="shared" si="796"/>
        <v>120</v>
      </c>
      <c r="M280" s="9"/>
      <c r="N280" s="9"/>
      <c r="O280" s="72">
        <f t="shared" si="797"/>
        <v>0</v>
      </c>
      <c r="P280" s="9"/>
      <c r="Q280" s="9"/>
      <c r="R280" s="109"/>
      <c r="S280" s="109"/>
      <c r="T280" s="109"/>
      <c r="U280" s="92">
        <f t="shared" si="798"/>
        <v>0</v>
      </c>
      <c r="V280" s="91">
        <f t="shared" si="799"/>
        <v>0</v>
      </c>
      <c r="W280" s="93"/>
      <c r="X280" s="13">
        <f t="shared" si="800"/>
        <v>1.0000000000000037E-2</v>
      </c>
      <c r="Y280" s="17">
        <f t="shared" si="801"/>
        <v>0.84</v>
      </c>
      <c r="Z280" s="65">
        <f t="shared" si="802"/>
        <v>0</v>
      </c>
      <c r="AA280" s="17">
        <v>0.15</v>
      </c>
      <c r="AB280" s="9">
        <f t="shared" si="803"/>
        <v>0</v>
      </c>
      <c r="AC280" s="17"/>
      <c r="AD280" s="5"/>
      <c r="AE280" s="17"/>
      <c r="AG280" s="18"/>
      <c r="AH280" s="44"/>
      <c r="AJ280" s="44"/>
      <c r="AK280" s="18"/>
      <c r="AL280" s="44"/>
      <c r="AM280" s="18"/>
      <c r="AN280" s="5"/>
      <c r="AO280" s="18"/>
      <c r="AP280" s="5"/>
      <c r="AR280" s="5"/>
      <c r="AS280" s="18"/>
      <c r="AT280" s="5"/>
      <c r="AU280" s="73">
        <f t="shared" si="804"/>
        <v>0</v>
      </c>
    </row>
    <row r="281" spans="1:47" x14ac:dyDescent="0.25">
      <c r="A281" s="9"/>
      <c r="C281" s="9"/>
      <c r="D281" s="9"/>
      <c r="E281" s="9"/>
      <c r="F281" s="8"/>
      <c r="G281" s="8"/>
      <c r="H281" s="8"/>
      <c r="I281" s="9"/>
      <c r="J281" s="4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75"/>
      <c r="V281" s="9"/>
      <c r="W281" s="10"/>
      <c r="X281" s="13"/>
      <c r="Y281" s="17"/>
      <c r="Z281" s="65"/>
      <c r="AA281" s="17"/>
      <c r="AB281" s="5"/>
      <c r="AC281" s="67"/>
      <c r="AD281" s="10"/>
      <c r="AE281" s="67"/>
      <c r="AF281" s="10"/>
      <c r="AG281" s="67"/>
      <c r="AI281" s="48"/>
      <c r="AK281" s="67"/>
      <c r="AM281" s="67"/>
      <c r="AN281" s="10"/>
      <c r="AO281" s="67"/>
      <c r="AP281" s="10"/>
      <c r="AQ281" s="17"/>
      <c r="AR281" s="10"/>
      <c r="AS281" s="67"/>
      <c r="AT281" s="10"/>
    </row>
    <row r="282" spans="1:47" x14ac:dyDescent="0.25">
      <c r="A282" s="21"/>
      <c r="C282" s="9"/>
      <c r="D282" s="10"/>
      <c r="E282" s="10"/>
      <c r="N282" s="9"/>
      <c r="O282" s="9"/>
      <c r="P282" s="9"/>
      <c r="Q282" s="9"/>
      <c r="R282" s="14"/>
      <c r="S282" s="12"/>
      <c r="T282" s="12"/>
      <c r="U282" s="15"/>
      <c r="V282" s="12"/>
      <c r="W282" s="12"/>
      <c r="X282" s="12"/>
      <c r="Y282" s="17"/>
      <c r="Z282" s="12"/>
      <c r="AA282" s="17"/>
      <c r="AB282" s="4"/>
      <c r="AC282" s="67"/>
      <c r="AD282" s="12"/>
      <c r="AE282" s="67"/>
      <c r="AF282" s="12"/>
      <c r="AG282" s="67"/>
      <c r="AH282" s="56"/>
      <c r="AI282" s="17"/>
      <c r="AJ282" s="56"/>
      <c r="AK282" s="67"/>
      <c r="AL282" s="56"/>
      <c r="AM282" s="67"/>
      <c r="AN282" s="12"/>
      <c r="AO282" s="67"/>
      <c r="AP282" s="12"/>
      <c r="AQ282" s="17"/>
      <c r="AR282" s="12"/>
      <c r="AS282" s="67"/>
      <c r="AT282" s="12"/>
    </row>
    <row r="283" spans="1:47" x14ac:dyDescent="0.25">
      <c r="A283" s="9"/>
      <c r="C283" s="9"/>
      <c r="D283" s="9"/>
      <c r="E283" s="9"/>
      <c r="N283" s="9"/>
      <c r="O283" s="9"/>
      <c r="P283" s="9"/>
      <c r="Q283" s="9"/>
      <c r="R283" s="14"/>
      <c r="S283" s="10"/>
      <c r="T283" s="10"/>
      <c r="U283" s="16"/>
      <c r="V283" s="10"/>
      <c r="W283" s="16"/>
      <c r="X283" s="16"/>
      <c r="Y283" s="17"/>
      <c r="Z283" s="10"/>
      <c r="AA283" s="17"/>
      <c r="AB283" s="4"/>
      <c r="AC283" s="67"/>
      <c r="AD283" s="10"/>
      <c r="AE283" s="67"/>
      <c r="AF283" s="10"/>
      <c r="AG283" s="67"/>
      <c r="AI283" s="17"/>
      <c r="AK283" s="67"/>
      <c r="AM283" s="67"/>
      <c r="AN283" s="10"/>
      <c r="AO283" s="67"/>
      <c r="AP283" s="10"/>
      <c r="AQ283" s="17"/>
      <c r="AR283" s="10"/>
      <c r="AS283" s="67"/>
      <c r="AT283" s="10"/>
    </row>
    <row r="284" spans="1:47" x14ac:dyDescent="0.25">
      <c r="A284" s="9"/>
      <c r="C284" s="9"/>
      <c r="D284" s="9"/>
      <c r="E284" s="9"/>
      <c r="N284" s="9"/>
      <c r="O284" s="9"/>
      <c r="P284" s="9"/>
      <c r="Q284" s="9"/>
      <c r="R284" s="14"/>
      <c r="S284" s="10"/>
      <c r="T284" s="10"/>
      <c r="U284" s="16"/>
      <c r="V284" s="10"/>
      <c r="W284" s="16"/>
      <c r="X284" s="16"/>
      <c r="Y284" s="17"/>
      <c r="Z284" s="10"/>
      <c r="AA284" s="17"/>
      <c r="AB284" s="4"/>
      <c r="AC284" s="67"/>
      <c r="AD284" s="10"/>
      <c r="AE284" s="67"/>
      <c r="AF284" s="10"/>
      <c r="AG284" s="67"/>
      <c r="AI284" s="48"/>
      <c r="AK284" s="67"/>
      <c r="AM284" s="67"/>
      <c r="AN284" s="10"/>
      <c r="AO284" s="67"/>
      <c r="AP284" s="10"/>
      <c r="AQ284" s="17"/>
      <c r="AR284" s="10"/>
      <c r="AS284" s="67"/>
      <c r="AT284" s="10"/>
    </row>
    <row r="285" spans="1:47" x14ac:dyDescent="0.25">
      <c r="P285" s="9"/>
      <c r="Q285" s="9"/>
      <c r="Z285" s="5"/>
      <c r="AB285" s="5"/>
      <c r="AD285" s="5"/>
      <c r="AH285" s="44"/>
      <c r="AJ285" s="44"/>
      <c r="AL285" s="44"/>
      <c r="AN285" s="5"/>
      <c r="AP285" s="5"/>
      <c r="AR285" s="5"/>
      <c r="AT285" s="5"/>
    </row>
  </sheetData>
  <autoFilter ref="A2:AR285" xr:uid="{EB544B21-CCE6-4EA7-BEC1-5C8E605F9BC3}"/>
  <conditionalFormatting sqref="A17:B25 A27:B28 A215:E216">
    <cfRule type="containsBlanks" dxfId="294" priority="3734">
      <formula>LEN(TRIM(A17))=0</formula>
    </cfRule>
  </conditionalFormatting>
  <conditionalFormatting sqref="A62:B65 A67:B68 A159:E170 A184:E201 A203:E210">
    <cfRule type="containsBlanks" dxfId="293" priority="3730">
      <formula>LEN(TRIM(A62))=0</formula>
    </cfRule>
    <cfRule type="cellIs" dxfId="292" priority="3729" operator="equal">
      <formula>0</formula>
    </cfRule>
  </conditionalFormatting>
  <conditionalFormatting sqref="A1:E1 A2:D2">
    <cfRule type="cellIs" dxfId="291" priority="5956" operator="equal">
      <formula>0</formula>
    </cfRule>
    <cfRule type="containsBlanks" dxfId="290" priority="5957">
      <formula>LEN(TRIM(A1))=0</formula>
    </cfRule>
  </conditionalFormatting>
  <conditionalFormatting sqref="A3:E101 A103:E114 A116:E127 A129:E146">
    <cfRule type="cellIs" dxfId="289" priority="1138" operator="equal">
      <formula>0</formula>
    </cfRule>
    <cfRule type="containsBlanks" dxfId="288" priority="1139">
      <formula>LEN(TRIM(A3))=0</formula>
    </cfRule>
  </conditionalFormatting>
  <conditionalFormatting sqref="A148:E157 A172:E176 A282 C282:E282">
    <cfRule type="cellIs" dxfId="287" priority="5150" operator="equal">
      <formula>0</formula>
    </cfRule>
    <cfRule type="containsBlanks" dxfId="286" priority="5151">
      <formula>LEN(TRIM(A148))=0</formula>
    </cfRule>
  </conditionalFormatting>
  <conditionalFormatting sqref="A178:E182">
    <cfRule type="containsBlanks" dxfId="285" priority="1137">
      <formula>LEN(TRIM(A178))=0</formula>
    </cfRule>
    <cfRule type="cellIs" dxfId="284" priority="1136" operator="equal">
      <formula>0</formula>
    </cfRule>
  </conditionalFormatting>
  <conditionalFormatting sqref="A221:E222">
    <cfRule type="cellIs" dxfId="283" priority="4223" operator="equal">
      <formula>0</formula>
    </cfRule>
    <cfRule type="containsBlanks" dxfId="282" priority="4224">
      <formula>LEN(TRIM(A221))=0</formula>
    </cfRule>
  </conditionalFormatting>
  <conditionalFormatting sqref="A239:E248">
    <cfRule type="cellIs" dxfId="281" priority="3944" operator="equal">
      <formula>0</formula>
    </cfRule>
    <cfRule type="containsBlanks" dxfId="280" priority="3945">
      <formula>LEN(TRIM(A239))=0</formula>
    </cfRule>
  </conditionalFormatting>
  <conditionalFormatting sqref="A250:E253">
    <cfRule type="cellIs" dxfId="279" priority="4128" operator="equal">
      <formula>0</formula>
    </cfRule>
    <cfRule type="containsBlanks" dxfId="278" priority="4129">
      <formula>LEN(TRIM(A250))=0</formula>
    </cfRule>
  </conditionalFormatting>
  <conditionalFormatting sqref="A255:E259">
    <cfRule type="cellIs" dxfId="277" priority="4094" operator="equal">
      <formula>0</formula>
    </cfRule>
    <cfRule type="containsBlanks" dxfId="276" priority="4095">
      <formula>LEN(TRIM(A255))=0</formula>
    </cfRule>
  </conditionalFormatting>
  <conditionalFormatting sqref="A261:E268 A270:E280">
    <cfRule type="containsBlanks" dxfId="275" priority="3949">
      <formula>LEN(TRIM(A261))=0</formula>
    </cfRule>
    <cfRule type="cellIs" dxfId="274" priority="3948" operator="equal">
      <formula>0</formula>
    </cfRule>
  </conditionalFormatting>
  <conditionalFormatting sqref="A171:H171 J171:AU171">
    <cfRule type="containsBlanks" dxfId="273" priority="44">
      <formula>LEN(TRIM(A171))=0</formula>
    </cfRule>
    <cfRule type="cellIs" dxfId="272" priority="43" operator="equal">
      <formula>0</formula>
    </cfRule>
  </conditionalFormatting>
  <conditionalFormatting sqref="B147 A211:A212 C211:E212 B211:B214 A285:E1048576">
    <cfRule type="containsBlanks" dxfId="271" priority="5934">
      <formula>LEN(TRIM(A147))=0</formula>
    </cfRule>
    <cfRule type="cellIs" dxfId="270" priority="5933" operator="equal">
      <formula>0</formula>
    </cfRule>
  </conditionalFormatting>
  <conditionalFormatting sqref="B282:B284">
    <cfRule type="containsBlanks" dxfId="269" priority="5244">
      <formula>LEN(TRIM(B282))=0</formula>
    </cfRule>
    <cfRule type="cellIs" dxfId="268" priority="5243" operator="equal">
      <formula>0</formula>
    </cfRule>
  </conditionalFormatting>
  <conditionalFormatting sqref="E2">
    <cfRule type="cellIs" dxfId="267" priority="4647" operator="equal">
      <formula>0</formula>
    </cfRule>
  </conditionalFormatting>
  <conditionalFormatting sqref="F2:L2 N2:X2 AA2 AL2">
    <cfRule type="expression" dxfId="266" priority="7333">
      <formula>ChampActif(F2)</formula>
    </cfRule>
  </conditionalFormatting>
  <conditionalFormatting sqref="J17:J28 J184:J186 N185:N186 J196:J201 N197:N201 Z202:AT217 N203:N216 K208">
    <cfRule type="cellIs" dxfId="265" priority="2032" operator="equal">
      <formula>0</formula>
    </cfRule>
  </conditionalFormatting>
  <conditionalFormatting sqref="J30:J42">
    <cfRule type="cellIs" dxfId="264" priority="2030" operator="equal">
      <formula>0</formula>
    </cfRule>
  </conditionalFormatting>
  <conditionalFormatting sqref="J44:J55">
    <cfRule type="cellIs" dxfId="263" priority="2028" operator="equal">
      <formula>0</formula>
    </cfRule>
  </conditionalFormatting>
  <conditionalFormatting sqref="J57:J68">
    <cfRule type="cellIs" dxfId="262" priority="2026" operator="equal">
      <formula>0</formula>
    </cfRule>
  </conditionalFormatting>
  <conditionalFormatting sqref="J70:J81">
    <cfRule type="cellIs" dxfId="261" priority="2024" operator="equal">
      <formula>0</formula>
    </cfRule>
  </conditionalFormatting>
  <conditionalFormatting sqref="J83:J94">
    <cfRule type="cellIs" dxfId="260" priority="2022" operator="equal">
      <formula>0</formula>
    </cfRule>
  </conditionalFormatting>
  <conditionalFormatting sqref="J96:J101">
    <cfRule type="cellIs" dxfId="259" priority="2020" operator="equal">
      <formula>0</formula>
    </cfRule>
  </conditionalFormatting>
  <conditionalFormatting sqref="J103:J114">
    <cfRule type="cellIs" dxfId="258" priority="2018" operator="equal">
      <formula>0</formula>
    </cfRule>
  </conditionalFormatting>
  <conditionalFormatting sqref="J129:J140">
    <cfRule type="cellIs" dxfId="257" priority="2012" operator="equal">
      <formula>0</formula>
    </cfRule>
  </conditionalFormatting>
  <conditionalFormatting sqref="J142:J146">
    <cfRule type="cellIs" dxfId="256" priority="2010" operator="equal">
      <formula>0</formula>
    </cfRule>
  </conditionalFormatting>
  <conditionalFormatting sqref="J148:J157">
    <cfRule type="cellIs" dxfId="255" priority="2008" operator="equal">
      <formula>0</formula>
    </cfRule>
  </conditionalFormatting>
  <conditionalFormatting sqref="J178:J182">
    <cfRule type="cellIs" dxfId="254" priority="2014" operator="equal">
      <formula>0</formula>
    </cfRule>
  </conditionalFormatting>
  <conditionalFormatting sqref="J188:J190">
    <cfRule type="cellIs" dxfId="253" priority="2002" operator="equal">
      <formula>0</formula>
    </cfRule>
  </conditionalFormatting>
  <conditionalFormatting sqref="J192:J194">
    <cfRule type="cellIs" dxfId="252" priority="1708" operator="equal">
      <formula>0</formula>
    </cfRule>
  </conditionalFormatting>
  <conditionalFormatting sqref="J116:K127">
    <cfRule type="cellIs" dxfId="251" priority="1195" operator="equal">
      <formula>0</formula>
    </cfRule>
  </conditionalFormatting>
  <conditionalFormatting sqref="J221:K222">
    <cfRule type="cellIs" dxfId="250" priority="2091" operator="equal">
      <formula>0</formula>
    </cfRule>
  </conditionalFormatting>
  <conditionalFormatting sqref="J239:K248">
    <cfRule type="cellIs" dxfId="249" priority="2079" operator="equal">
      <formula>0</formula>
    </cfRule>
  </conditionalFormatting>
  <conditionalFormatting sqref="J250:K253">
    <cfRule type="cellIs" dxfId="248" priority="2098" operator="equal">
      <formula>0</formula>
    </cfRule>
  </conditionalFormatting>
  <conditionalFormatting sqref="J255:K259 J261:J268">
    <cfRule type="cellIs" dxfId="247" priority="2074" operator="equal">
      <formula>0</formula>
    </cfRule>
  </conditionalFormatting>
  <conditionalFormatting sqref="J270:K280">
    <cfRule type="cellIs" dxfId="246" priority="1319" operator="equal">
      <formula>0</formula>
    </cfRule>
  </conditionalFormatting>
  <conditionalFormatting sqref="K196">
    <cfRule type="cellIs" dxfId="245" priority="1601" operator="equal">
      <formula>0</formula>
    </cfRule>
  </conditionalFormatting>
  <conditionalFormatting sqref="K168:L168 K13 K26 K39 K53 K66 K79 K92 K112 K138 K157 J159:K170 K180 K184 K188 K192 K199:L199 K210:K215 K217">
    <cfRule type="cellIs" dxfId="244" priority="1672" operator="equal">
      <formula>0</formula>
    </cfRule>
  </conditionalFormatting>
  <conditionalFormatting sqref="L116:L127 J203:J216 L206:M216">
    <cfRule type="cellIs" dxfId="243" priority="3200" operator="equal">
      <formula>0</formula>
    </cfRule>
  </conditionalFormatting>
  <conditionalFormatting sqref="L169:L170">
    <cfRule type="cellIs" dxfId="242" priority="3380" operator="equal">
      <formula>0</formula>
    </cfRule>
  </conditionalFormatting>
  <conditionalFormatting sqref="L5:M15 L17:M28 L30:M42 L57:M68 L70:M81 L83:M94 L103:M114 M118:M127 L129:M140">
    <cfRule type="cellIs" dxfId="241" priority="89" operator="equal">
      <formula>0</formula>
    </cfRule>
  </conditionalFormatting>
  <conditionalFormatting sqref="L44:M55">
    <cfRule type="cellIs" dxfId="240" priority="1544" operator="equal">
      <formula>0</formula>
    </cfRule>
  </conditionalFormatting>
  <conditionalFormatting sqref="L96:M101">
    <cfRule type="cellIs" dxfId="239" priority="5336" operator="equal">
      <formula>0</formula>
    </cfRule>
  </conditionalFormatting>
  <conditionalFormatting sqref="L142:M146 L148:M157 L159:M170">
    <cfRule type="cellIs" dxfId="238" priority="146" operator="equal">
      <formula>0</formula>
    </cfRule>
  </conditionalFormatting>
  <conditionalFormatting sqref="L172:M173 L175:M176">
    <cfRule type="cellIs" dxfId="237" priority="97" operator="equal">
      <formula>0</formula>
    </cfRule>
  </conditionalFormatting>
  <conditionalFormatting sqref="L192:M194">
    <cfRule type="cellIs" dxfId="236" priority="148" operator="equal">
      <formula>0</formula>
    </cfRule>
  </conditionalFormatting>
  <conditionalFormatting sqref="L200:M201">
    <cfRule type="cellIs" dxfId="235" priority="85" operator="equal">
      <formula>0</formula>
    </cfRule>
  </conditionalFormatting>
  <conditionalFormatting sqref="L203:M204 L205">
    <cfRule type="cellIs" dxfId="234" priority="1538" operator="equal">
      <formula>0</formula>
    </cfRule>
  </conditionalFormatting>
  <conditionalFormatting sqref="L221:M222">
    <cfRule type="cellIs" dxfId="233" priority="1685" operator="equal">
      <formula>0</formula>
    </cfRule>
  </conditionalFormatting>
  <conditionalFormatting sqref="L239:M248">
    <cfRule type="cellIs" dxfId="232" priority="1593" operator="equal">
      <formula>0</formula>
    </cfRule>
  </conditionalFormatting>
  <conditionalFormatting sqref="L250:M253">
    <cfRule type="cellIs" dxfId="231" priority="1371" operator="equal">
      <formula>0</formula>
    </cfRule>
  </conditionalFormatting>
  <conditionalFormatting sqref="L255:M259 M261:M268">
    <cfRule type="cellIs" dxfId="230" priority="1667" operator="equal">
      <formula>0</formula>
    </cfRule>
  </conditionalFormatting>
  <conditionalFormatting sqref="L270:M280">
    <cfRule type="cellIs" dxfId="229" priority="1320" operator="equal">
      <formula>0</formula>
    </cfRule>
  </conditionalFormatting>
  <conditionalFormatting sqref="M5:M12">
    <cfRule type="cellIs" dxfId="228" priority="3379" operator="greaterThan">
      <formula>0</formula>
    </cfRule>
  </conditionalFormatting>
  <conditionalFormatting sqref="M5:M15 M17:M28 M30:M42 M57:M68 M70:M81 M83:M94 M103:M114 M118:M127 M129:M140">
    <cfRule type="cellIs" dxfId="227" priority="88" operator="greaterThan">
      <formula>0</formula>
    </cfRule>
  </conditionalFormatting>
  <conditionalFormatting sqref="M44:M55">
    <cfRule type="cellIs" dxfId="226" priority="1543" operator="greaterThan">
      <formula>0</formula>
    </cfRule>
  </conditionalFormatting>
  <conditionalFormatting sqref="M96:M101">
    <cfRule type="cellIs" dxfId="225" priority="5335" operator="greaterThan">
      <formula>0</formula>
    </cfRule>
  </conditionalFormatting>
  <conditionalFormatting sqref="M116">
    <cfRule type="cellIs" dxfId="224" priority="1193" operator="greaterThan">
      <formula>0</formula>
    </cfRule>
    <cfRule type="cellIs" dxfId="223" priority="1194" operator="equal">
      <formula>0</formula>
    </cfRule>
  </conditionalFormatting>
  <conditionalFormatting sqref="M142:M146 M148:M157">
    <cfRule type="cellIs" dxfId="222" priority="145" operator="greaterThan">
      <formula>0</formula>
    </cfRule>
  </conditionalFormatting>
  <conditionalFormatting sqref="M159:M170 M178:M182 M184:M186 M188:M190 M196:M198">
    <cfRule type="cellIs" dxfId="221" priority="86" operator="greaterThan">
      <formula>0</formula>
    </cfRule>
  </conditionalFormatting>
  <conditionalFormatting sqref="M168:M170 L178:M182 L184:M186 L188:M190 L196:M198">
    <cfRule type="cellIs" dxfId="220" priority="87" operator="equal">
      <formula>0</formula>
    </cfRule>
  </conditionalFormatting>
  <conditionalFormatting sqref="M172:M173 M175:M176">
    <cfRule type="cellIs" dxfId="219" priority="96" operator="greaterThan">
      <formula>0</formula>
    </cfRule>
  </conditionalFormatting>
  <conditionalFormatting sqref="M192:M194">
    <cfRule type="cellIs" dxfId="218" priority="147" operator="greaterThan">
      <formula>0</formula>
    </cfRule>
  </conditionalFormatting>
  <conditionalFormatting sqref="M200:M201">
    <cfRule type="cellIs" dxfId="217" priority="84" operator="greaterThan">
      <formula>0</formula>
    </cfRule>
  </conditionalFormatting>
  <conditionalFormatting sqref="M203:M204">
    <cfRule type="cellIs" dxfId="216" priority="1537" operator="greaterThan">
      <formula>0</formula>
    </cfRule>
  </conditionalFormatting>
  <conditionalFormatting sqref="M206:M209">
    <cfRule type="cellIs" dxfId="215" priority="1504" operator="greaterThan">
      <formula>0</formula>
    </cfRule>
  </conditionalFormatting>
  <conditionalFormatting sqref="M209:M211 M213 M216">
    <cfRule type="cellIs" dxfId="214" priority="4256" operator="greaterThan">
      <formula>0</formula>
    </cfRule>
  </conditionalFormatting>
  <conditionalFormatting sqref="M212">
    <cfRule type="cellIs" dxfId="213" priority="1688" operator="greaterThan">
      <formula>0</formula>
    </cfRule>
  </conditionalFormatting>
  <conditionalFormatting sqref="M214:M215">
    <cfRule type="cellIs" dxfId="212" priority="1686" operator="greaterThan">
      <formula>0</formula>
    </cfRule>
  </conditionalFormatting>
  <conditionalFormatting sqref="M221:M222">
    <cfRule type="cellIs" dxfId="211" priority="1594" operator="greaterThan">
      <formula>0</formula>
    </cfRule>
  </conditionalFormatting>
  <conditionalFormatting sqref="M224:M226">
    <cfRule type="cellIs" dxfId="210" priority="1042" operator="greaterThan">
      <formula>0</formula>
    </cfRule>
    <cfRule type="cellIs" dxfId="209" priority="1041" operator="equal">
      <formula>0</formula>
    </cfRule>
  </conditionalFormatting>
  <conditionalFormatting sqref="M228:M231">
    <cfRule type="cellIs" dxfId="208" priority="1346" operator="greaterThan">
      <formula>0</formula>
    </cfRule>
  </conditionalFormatting>
  <conditionalFormatting sqref="M228:M237">
    <cfRule type="cellIs" dxfId="207" priority="1039" operator="equal">
      <formula>0</formula>
    </cfRule>
  </conditionalFormatting>
  <conditionalFormatting sqref="M232:M237">
    <cfRule type="cellIs" dxfId="206" priority="1040" operator="greaterThan">
      <formula>0</formula>
    </cfRule>
  </conditionalFormatting>
  <conditionalFormatting sqref="M239:M248">
    <cfRule type="cellIs" dxfId="205" priority="1592" operator="greaterThan">
      <formula>0</formula>
    </cfRule>
  </conditionalFormatting>
  <conditionalFormatting sqref="M250:M253 M255:M259 M261:M268 M270:M280">
    <cfRule type="cellIs" dxfId="204" priority="1666" operator="greaterThan">
      <formula>0</formula>
    </cfRule>
  </conditionalFormatting>
  <conditionalFormatting sqref="M282:M284">
    <cfRule type="cellIs" dxfId="203" priority="5238" operator="greaterThan">
      <formula>0</formula>
    </cfRule>
    <cfRule type="cellIs" dxfId="202" priority="5239" operator="equal">
      <formula>0</formula>
    </cfRule>
  </conditionalFormatting>
  <conditionalFormatting sqref="N5:N12 N14:N15 N96:N101 N172:N173 N175:N176 N200:N201">
    <cfRule type="cellIs" dxfId="201" priority="7022" operator="greaterThan">
      <formula>0</formula>
    </cfRule>
  </conditionalFormatting>
  <conditionalFormatting sqref="N5:N15 N17:N28 N30:N41 N44:N55 N57:N68 N70:N81 N83:N94 N103:N114 N116:N127 N129:N140 N148:N157 N159:N170 N179:N182">
    <cfRule type="cellIs" dxfId="200" priority="1670" operator="equal">
      <formula>0</formula>
    </cfRule>
  </conditionalFormatting>
  <conditionalFormatting sqref="N17:N25 N27:N28">
    <cfRule type="cellIs" dxfId="199" priority="4634" operator="greaterThan">
      <formula>0</formula>
    </cfRule>
  </conditionalFormatting>
  <conditionalFormatting sqref="N30:N38 N40:N41 N42:O42">
    <cfRule type="cellIs" dxfId="198" priority="4646" operator="greaterThan">
      <formula>0</formula>
    </cfRule>
  </conditionalFormatting>
  <conditionalFormatting sqref="N44:N52 N54:N55">
    <cfRule type="cellIs" dxfId="197" priority="4611" operator="greaterThan">
      <formula>0</formula>
    </cfRule>
  </conditionalFormatting>
  <conditionalFormatting sqref="N57:N65 N67:N68">
    <cfRule type="cellIs" dxfId="196" priority="4609" operator="greaterThan">
      <formula>0</formula>
    </cfRule>
  </conditionalFormatting>
  <conditionalFormatting sqref="N70:N78 N80:N81">
    <cfRule type="cellIs" dxfId="195" priority="4608" operator="greaterThan">
      <formula>0</formula>
    </cfRule>
  </conditionalFormatting>
  <conditionalFormatting sqref="N83:N91 N93:N94">
    <cfRule type="cellIs" dxfId="194" priority="4607" operator="greaterThan">
      <formula>0</formula>
    </cfRule>
  </conditionalFormatting>
  <conditionalFormatting sqref="N103:N111 N113:N114">
    <cfRule type="cellIs" dxfId="193" priority="4341" operator="greaterThan">
      <formula>0</formula>
    </cfRule>
  </conditionalFormatting>
  <conditionalFormatting sqref="N129:N137 N139:N140">
    <cfRule type="cellIs" dxfId="192" priority="4338" operator="greaterThan">
      <formula>0</formula>
    </cfRule>
  </conditionalFormatting>
  <conditionalFormatting sqref="N142:N146 N147:O147">
    <cfRule type="cellIs" dxfId="191" priority="4374" operator="greaterThan">
      <formula>0</formula>
    </cfRule>
  </conditionalFormatting>
  <conditionalFormatting sqref="N148:N156">
    <cfRule type="cellIs" dxfId="190" priority="4357" operator="greaterThan">
      <formula>0</formula>
    </cfRule>
  </conditionalFormatting>
  <conditionalFormatting sqref="N159:N167 N169:N170">
    <cfRule type="cellIs" dxfId="189" priority="4280" operator="greaterThan">
      <formula>0</formula>
    </cfRule>
  </conditionalFormatting>
  <conditionalFormatting sqref="N179:N182 N185:N186 N189:N190 N193:N194 N197:N198">
    <cfRule type="cellIs" dxfId="188" priority="4333" operator="greaterThan">
      <formula>0</formula>
    </cfRule>
  </conditionalFormatting>
  <conditionalFormatting sqref="N193:N194">
    <cfRule type="cellIs" dxfId="187" priority="1582" operator="equal">
      <formula>0</formula>
    </cfRule>
  </conditionalFormatting>
  <conditionalFormatting sqref="N203:N207">
    <cfRule type="cellIs" dxfId="186" priority="4271" operator="greaterThan">
      <formula>0</formula>
    </cfRule>
  </conditionalFormatting>
  <conditionalFormatting sqref="N209">
    <cfRule type="cellIs" dxfId="185" priority="4255" operator="greaterThan">
      <formula>0</formula>
    </cfRule>
  </conditionalFormatting>
  <conditionalFormatting sqref="N221:N222">
    <cfRule type="cellIs" dxfId="184" priority="4239" operator="equal">
      <formula>0</formula>
    </cfRule>
  </conditionalFormatting>
  <conditionalFormatting sqref="N239:N248">
    <cfRule type="cellIs" dxfId="183" priority="4175" operator="equal">
      <formula>0</formula>
    </cfRule>
  </conditionalFormatting>
  <conditionalFormatting sqref="N250:N253">
    <cfRule type="cellIs" dxfId="182" priority="4147" operator="equal">
      <formula>0</formula>
    </cfRule>
  </conditionalFormatting>
  <conditionalFormatting sqref="N255:N259 N261:N268 N270:N280">
    <cfRule type="cellIs" dxfId="181" priority="4037" operator="equal">
      <formula>0</formula>
    </cfRule>
  </conditionalFormatting>
  <conditionalFormatting sqref="N1:O4 Y5:AT5 N16:O16 S16:AB16 AD16 AF16 AH16:AT16 N29:O29 S29:AB29 AD29 AF29 AH29:AT29 N42:O43 S43:AB43 AD43 AF43 AH43:AT43 N56:O56 S56:AB56 AD56 AF56 AH56:AT56 N69:O69 S69:AB69 AD69 AF69 AH69:AT69 N82:O82 S82:AB82 AD82 AF82 AH82:AT82 N95:O95 S95:AB95 AD95 AF95 AH95:AT95 N96:N101 S141:AB141 AD141 AF141 AH141:AT141">
    <cfRule type="cellIs" dxfId="180" priority="5930" operator="equal">
      <formula>0</formula>
    </cfRule>
  </conditionalFormatting>
  <conditionalFormatting sqref="N141:O141 N142:N146 N147:O147 N187:O187 N189:N190 N191:O191">
    <cfRule type="cellIs" dxfId="179" priority="4342" operator="equal">
      <formula>0</formula>
    </cfRule>
  </conditionalFormatting>
  <conditionalFormatting sqref="N174:O174">
    <cfRule type="cellIs" dxfId="178" priority="49" operator="equal">
      <formula>0</formula>
    </cfRule>
  </conditionalFormatting>
  <conditionalFormatting sqref="N195:O195">
    <cfRule type="cellIs" dxfId="177" priority="1606" operator="equal">
      <formula>0</formula>
    </cfRule>
  </conditionalFormatting>
  <conditionalFormatting sqref="N282:O284">
    <cfRule type="cellIs" dxfId="176" priority="5245" operator="greaterThan">
      <formula>0</formula>
    </cfRule>
  </conditionalFormatting>
  <conditionalFormatting sqref="R185:S186">
    <cfRule type="cellIs" dxfId="175" priority="73" operator="equal">
      <formula>0</formula>
    </cfRule>
  </conditionalFormatting>
  <conditionalFormatting sqref="R189:S190">
    <cfRule type="cellIs" dxfId="174" priority="72" operator="equal">
      <formula>0</formula>
    </cfRule>
  </conditionalFormatting>
  <conditionalFormatting sqref="R197:S198">
    <cfRule type="cellIs" dxfId="173" priority="71" operator="equal">
      <formula>0</formula>
    </cfRule>
  </conditionalFormatting>
  <conditionalFormatting sqref="R5:X15">
    <cfRule type="cellIs" dxfId="172" priority="74" operator="equal">
      <formula>0</formula>
    </cfRule>
  </conditionalFormatting>
  <conditionalFormatting sqref="R17:X18 R19:AT24">
    <cfRule type="cellIs" dxfId="171" priority="3167" operator="equal">
      <formula>0</formula>
    </cfRule>
  </conditionalFormatting>
  <conditionalFormatting sqref="R26:X28 S39:S41">
    <cfRule type="cellIs" dxfId="170" priority="75" operator="equal">
      <formula>0</formula>
    </cfRule>
  </conditionalFormatting>
  <conditionalFormatting sqref="R96:X101">
    <cfRule type="cellIs" dxfId="169" priority="1352" operator="equal">
      <formula>0</formula>
    </cfRule>
  </conditionalFormatting>
  <conditionalFormatting sqref="R184:X184 T185:X186">
    <cfRule type="cellIs" dxfId="168" priority="809" operator="equal">
      <formula>0</formula>
    </cfRule>
  </conditionalFormatting>
  <conditionalFormatting sqref="R188:X188 T189:X190">
    <cfRule type="cellIs" dxfId="167" priority="823" operator="equal">
      <formula>0</formula>
    </cfRule>
  </conditionalFormatting>
  <conditionalFormatting sqref="R192:X192 R196:X196">
    <cfRule type="cellIs" dxfId="166" priority="184" operator="equal">
      <formula>0</formula>
    </cfRule>
  </conditionalFormatting>
  <conditionalFormatting sqref="R193:X194">
    <cfRule type="cellIs" dxfId="165" priority="837" operator="equal">
      <formula>0</formula>
    </cfRule>
  </conditionalFormatting>
  <conditionalFormatting sqref="R200:X201">
    <cfRule type="cellIs" dxfId="164" priority="793" operator="equal">
      <formula>0</formula>
    </cfRule>
  </conditionalFormatting>
  <conditionalFormatting sqref="R25:Y25">
    <cfRule type="cellIs" dxfId="163" priority="1500" operator="equal">
      <formula>0</formula>
    </cfRule>
  </conditionalFormatting>
  <conditionalFormatting sqref="R30:Y38 R39 T39:X39 R40:X41 R42:Y42">
    <cfRule type="cellIs" dxfId="162" priority="166" operator="equal">
      <formula>0</formula>
    </cfRule>
  </conditionalFormatting>
  <conditionalFormatting sqref="R116:Y127 R129:Y140">
    <cfRule type="cellIs" dxfId="161" priority="69" operator="equal">
      <formula>0</formula>
    </cfRule>
  </conditionalFormatting>
  <conditionalFormatting sqref="R142:Y144 R145:W146">
    <cfRule type="cellIs" dxfId="160" priority="987" operator="equal">
      <formula>0</formula>
    </cfRule>
  </conditionalFormatting>
  <conditionalFormatting sqref="R159:Y167 R168:X170">
    <cfRule type="cellIs" dxfId="159" priority="776" operator="equal">
      <formula>0</formula>
    </cfRule>
  </conditionalFormatting>
  <conditionalFormatting sqref="R178:Y178">
    <cfRule type="cellIs" dxfId="158" priority="2410" operator="equal">
      <formula>0</formula>
    </cfRule>
  </conditionalFormatting>
  <conditionalFormatting sqref="R203:Y207">
    <cfRule type="cellIs" dxfId="157" priority="778" operator="equal">
      <formula>0</formula>
    </cfRule>
  </conditionalFormatting>
  <conditionalFormatting sqref="R172:AB173 R175:AB176 A17:B25 A27:B28 J172:J173 N172:N173 J175:J176 N175:N176 A215:E216 N282:O1048576 Z282:AT1048576">
    <cfRule type="cellIs" dxfId="156" priority="3733" operator="equal">
      <formula>0</formula>
    </cfRule>
  </conditionalFormatting>
  <conditionalFormatting sqref="R157:AT157">
    <cfRule type="cellIs" dxfId="155" priority="17" operator="equal">
      <formula>0</formula>
    </cfRule>
  </conditionalFormatting>
  <conditionalFormatting sqref="R159:AT170">
    <cfRule type="cellIs" dxfId="154" priority="8" operator="equal">
      <formula>0</formula>
    </cfRule>
  </conditionalFormatting>
  <conditionalFormatting sqref="R178:AT178 R179:X182">
    <cfRule type="cellIs" dxfId="153" priority="911" operator="equal">
      <formula>0</formula>
    </cfRule>
  </conditionalFormatting>
  <conditionalFormatting sqref="R221:AT222">
    <cfRule type="cellIs" dxfId="152" priority="11" operator="equal">
      <formula>0</formula>
    </cfRule>
  </conditionalFormatting>
  <conditionalFormatting sqref="R239:AT248 R250:AT253">
    <cfRule type="cellIs" dxfId="151" priority="9" operator="equal">
      <formula>0</formula>
    </cfRule>
  </conditionalFormatting>
  <conditionalFormatting sqref="R255:AT259">
    <cfRule type="cellIs" dxfId="150" priority="117" operator="equal">
      <formula>0</formula>
    </cfRule>
  </conditionalFormatting>
  <conditionalFormatting sqref="R261:AT268">
    <cfRule type="cellIs" dxfId="149" priority="114" operator="equal">
      <formula>0</formula>
    </cfRule>
  </conditionalFormatting>
  <conditionalFormatting sqref="R270:AT280">
    <cfRule type="cellIs" dxfId="148" priority="112" operator="equal">
      <formula>0</formula>
    </cfRule>
  </conditionalFormatting>
  <conditionalFormatting sqref="S282:T282">
    <cfRule type="cellIs" dxfId="147" priority="5149" operator="equal">
      <formula>0</formula>
    </cfRule>
  </conditionalFormatting>
  <conditionalFormatting sqref="S174:AB174">
    <cfRule type="cellIs" dxfId="146" priority="48" operator="equal">
      <formula>0</formula>
    </cfRule>
  </conditionalFormatting>
  <conditionalFormatting sqref="S187:AT187 S191:AT191">
    <cfRule type="cellIs" dxfId="145" priority="1247" operator="equal">
      <formula>0</formula>
    </cfRule>
  </conditionalFormatting>
  <conditionalFormatting sqref="S283:AT284 S147:AT147">
    <cfRule type="cellIs" dxfId="144" priority="5928" operator="equal">
      <formula>0</formula>
    </cfRule>
  </conditionalFormatting>
  <conditionalFormatting sqref="T178:X182 R179:X179 R181:X182">
    <cfRule type="cellIs" dxfId="143" priority="2257" operator="equal">
      <formula>0</formula>
    </cfRule>
  </conditionalFormatting>
  <conditionalFormatting sqref="T197:X198">
    <cfRule type="cellIs" dxfId="142" priority="883" operator="equal">
      <formula>0</formula>
    </cfRule>
    <cfRule type="cellIs" dxfId="141" priority="875" operator="equal">
      <formula>0</formula>
    </cfRule>
  </conditionalFormatting>
  <conditionalFormatting sqref="U228:X237">
    <cfRule type="cellIs" dxfId="140" priority="1021" operator="equal">
      <formula>0</formula>
    </cfRule>
  </conditionalFormatting>
  <conditionalFormatting sqref="U282:AT282">
    <cfRule type="cellIs" dxfId="139" priority="5506" operator="equal">
      <formula>0</formula>
    </cfRule>
  </conditionalFormatting>
  <conditionalFormatting sqref="X5:X15">
    <cfRule type="cellIs" dxfId="138" priority="905" operator="greaterThan">
      <formula>0</formula>
    </cfRule>
    <cfRule type="cellIs" dxfId="137" priority="906" operator="lessThan">
      <formula>0</formula>
    </cfRule>
    <cfRule type="cellIs" dxfId="136" priority="904" operator="equal">
      <formula>0</formula>
    </cfRule>
  </conditionalFormatting>
  <conditionalFormatting sqref="X17:X28">
    <cfRule type="cellIs" dxfId="135" priority="4599" operator="lessThan">
      <formula>0</formula>
    </cfRule>
    <cfRule type="cellIs" dxfId="134" priority="4598" operator="greaterThan">
      <formula>0</formula>
    </cfRule>
    <cfRule type="cellIs" dxfId="133" priority="4597" operator="equal">
      <formula>0</formula>
    </cfRule>
  </conditionalFormatting>
  <conditionalFormatting sqref="X30:X42">
    <cfRule type="cellIs" dxfId="132" priority="4518" operator="equal">
      <formula>0</formula>
    </cfRule>
    <cfRule type="cellIs" dxfId="131" priority="4519" operator="greaterThan">
      <formula>0</formula>
    </cfRule>
    <cfRule type="cellIs" dxfId="130" priority="4520" operator="lessThan">
      <formula>0</formula>
    </cfRule>
  </conditionalFormatting>
  <conditionalFormatting sqref="X44:X55">
    <cfRule type="cellIs" dxfId="129" priority="4510" operator="lessThan">
      <formula>0</formula>
    </cfRule>
    <cfRule type="cellIs" dxfId="128" priority="4508" operator="equal">
      <formula>0</formula>
    </cfRule>
    <cfRule type="cellIs" dxfId="127" priority="4509" operator="greaterThan">
      <formula>0</formula>
    </cfRule>
  </conditionalFormatting>
  <conditionalFormatting sqref="X57:X68">
    <cfRule type="cellIs" dxfId="126" priority="4497" operator="equal">
      <formula>0</formula>
    </cfRule>
    <cfRule type="cellIs" dxfId="125" priority="4499" operator="lessThan">
      <formula>0</formula>
    </cfRule>
    <cfRule type="cellIs" dxfId="124" priority="4498" operator="greaterThan">
      <formula>0</formula>
    </cfRule>
  </conditionalFormatting>
  <conditionalFormatting sqref="X70:X81">
    <cfRule type="cellIs" dxfId="123" priority="4488" operator="lessThan">
      <formula>0</formula>
    </cfRule>
    <cfRule type="cellIs" dxfId="122" priority="4487" operator="greaterThan">
      <formula>0</formula>
    </cfRule>
    <cfRule type="cellIs" dxfId="121" priority="4486" operator="equal">
      <formula>0</formula>
    </cfRule>
  </conditionalFormatting>
  <conditionalFormatting sqref="X83:X94">
    <cfRule type="cellIs" dxfId="120" priority="4477" operator="lessThan">
      <formula>0</formula>
    </cfRule>
    <cfRule type="cellIs" dxfId="119" priority="4476" operator="greaterThan">
      <formula>0</formula>
    </cfRule>
    <cfRule type="cellIs" dxfId="118" priority="4475" operator="equal">
      <formula>0</formula>
    </cfRule>
  </conditionalFormatting>
  <conditionalFormatting sqref="X96:X101">
    <cfRule type="cellIs" dxfId="117" priority="1349" operator="equal">
      <formula>0</formula>
    </cfRule>
    <cfRule type="cellIs" dxfId="116" priority="1350" operator="greaterThan">
      <formula>0</formula>
    </cfRule>
    <cfRule type="cellIs" dxfId="115" priority="1351" operator="lessThan">
      <formula>0</formula>
    </cfRule>
    <cfRule type="cellIs" dxfId="114" priority="1353" operator="equal">
      <formula>0</formula>
    </cfRule>
  </conditionalFormatting>
  <conditionalFormatting sqref="X103:X114">
    <cfRule type="cellIs" dxfId="113" priority="4446" operator="lessThan">
      <formula>0</formula>
    </cfRule>
    <cfRule type="cellIs" dxfId="112" priority="4445" operator="greaterThan">
      <formula>0</formula>
    </cfRule>
    <cfRule type="cellIs" dxfId="111" priority="4444" operator="equal">
      <formula>0</formula>
    </cfRule>
  </conditionalFormatting>
  <conditionalFormatting sqref="X116:X127">
    <cfRule type="cellIs" dxfId="110" priority="4426" operator="lessThan">
      <formula>0</formula>
    </cfRule>
    <cfRule type="cellIs" dxfId="109" priority="4425" operator="greaterThan">
      <formula>0</formula>
    </cfRule>
    <cfRule type="cellIs" dxfId="108" priority="4424" operator="equal">
      <formula>0</formula>
    </cfRule>
  </conditionalFormatting>
  <conditionalFormatting sqref="X129:X140">
    <cfRule type="cellIs" dxfId="107" priority="4389" operator="lessThan">
      <formula>0</formula>
    </cfRule>
    <cfRule type="cellIs" dxfId="106" priority="4387" operator="equal">
      <formula>0</formula>
    </cfRule>
    <cfRule type="cellIs" dxfId="105" priority="4388" operator="greaterThan">
      <formula>0</formula>
    </cfRule>
  </conditionalFormatting>
  <conditionalFormatting sqref="X142:X144">
    <cfRule type="cellIs" dxfId="104" priority="4370" operator="equal">
      <formula>0</formula>
    </cfRule>
    <cfRule type="cellIs" dxfId="103" priority="4371" operator="greaterThan">
      <formula>0</formula>
    </cfRule>
    <cfRule type="cellIs" dxfId="102" priority="1127" operator="lessThan">
      <formula>0</formula>
    </cfRule>
  </conditionalFormatting>
  <conditionalFormatting sqref="X148:X157">
    <cfRule type="cellIs" dxfId="101" priority="4355" operator="lessThan">
      <formula>0</formula>
    </cfRule>
    <cfRule type="cellIs" dxfId="100" priority="4353" operator="equal">
      <formula>0</formula>
    </cfRule>
  </conditionalFormatting>
  <conditionalFormatting sqref="X159:X170 X148:X157">
    <cfRule type="cellIs" dxfId="99" priority="4354" operator="greaterThan">
      <formula>0</formula>
    </cfRule>
  </conditionalFormatting>
  <conditionalFormatting sqref="X159:X170">
    <cfRule type="cellIs" dxfId="98" priority="774" operator="greaterThan">
      <formula>0</formula>
    </cfRule>
    <cfRule type="cellIs" dxfId="97" priority="775" operator="lessThan">
      <formula>0</formula>
    </cfRule>
    <cfRule type="cellIs" dxfId="96" priority="777" operator="equal">
      <formula>0</formula>
    </cfRule>
    <cfRule type="cellIs" dxfId="95" priority="773" operator="equal">
      <formula>0</formula>
    </cfRule>
  </conditionalFormatting>
  <conditionalFormatting sqref="X172:X173 X175:X176">
    <cfRule type="cellIs" dxfId="94" priority="1578" operator="equal">
      <formula>0</formula>
    </cfRule>
    <cfRule type="cellIs" dxfId="93" priority="1579" operator="greaterThan">
      <formula>0</formula>
    </cfRule>
    <cfRule type="cellIs" dxfId="92" priority="1580" operator="lessThan">
      <formula>0</formula>
    </cfRule>
  </conditionalFormatting>
  <conditionalFormatting sqref="X178:X182 X197:X198">
    <cfRule type="cellIs" dxfId="91" priority="4852" operator="equal">
      <formula>0</formula>
    </cfRule>
  </conditionalFormatting>
  <conditionalFormatting sqref="X178:X182">
    <cfRule type="cellIs" dxfId="90" priority="1743" operator="equal">
      <formula>0</formula>
    </cfRule>
    <cfRule type="cellIs" dxfId="89" priority="914" operator="greaterThan">
      <formula>0</formula>
    </cfRule>
    <cfRule type="cellIs" dxfId="88" priority="912" operator="greaterThan">
      <formula>0</formula>
    </cfRule>
    <cfRule type="cellIs" dxfId="87" priority="910" operator="equal">
      <formula>0</formula>
    </cfRule>
    <cfRule type="cellIs" dxfId="86" priority="909" operator="lessThan">
      <formula>0</formula>
    </cfRule>
    <cfRule type="cellIs" dxfId="85" priority="908" operator="equal">
      <formula>0</formula>
    </cfRule>
    <cfRule type="cellIs" dxfId="84" priority="4853" operator="greaterThan">
      <formula>0</formula>
    </cfRule>
  </conditionalFormatting>
  <conditionalFormatting sqref="X184:X186">
    <cfRule type="cellIs" dxfId="83" priority="808" operator="equal">
      <formula>0</formula>
    </cfRule>
    <cfRule type="cellIs" dxfId="82" priority="811" operator="equal">
      <formula>0</formula>
    </cfRule>
    <cfRule type="cellIs" dxfId="81" priority="810" operator="greaterThan">
      <formula>0</formula>
    </cfRule>
    <cfRule type="cellIs" dxfId="80" priority="804" operator="greaterThan">
      <formula>0</formula>
    </cfRule>
    <cfRule type="cellIs" dxfId="79" priority="802" operator="greaterThan">
      <formula>0</formula>
    </cfRule>
    <cfRule type="cellIs" dxfId="78" priority="801" operator="equal">
      <formula>0</formula>
    </cfRule>
    <cfRule type="cellIs" dxfId="77" priority="800" operator="equal">
      <formula>0</formula>
    </cfRule>
    <cfRule type="cellIs" dxfId="76" priority="799" operator="lessThan">
      <formula>0</formula>
    </cfRule>
  </conditionalFormatting>
  <conditionalFormatting sqref="X188:X190">
    <cfRule type="cellIs" dxfId="75" priority="814" operator="equal">
      <formula>0</formula>
    </cfRule>
    <cfRule type="cellIs" dxfId="74" priority="813" operator="lessThan">
      <formula>0</formula>
    </cfRule>
    <cfRule type="cellIs" dxfId="73" priority="824" operator="greaterThan">
      <formula>0</formula>
    </cfRule>
    <cfRule type="cellIs" dxfId="72" priority="815" operator="equal">
      <formula>0</formula>
    </cfRule>
    <cfRule type="cellIs" dxfId="71" priority="816" operator="greaterThan">
      <formula>0</formula>
    </cfRule>
    <cfRule type="cellIs" dxfId="70" priority="818" operator="greaterThan">
      <formula>0</formula>
    </cfRule>
    <cfRule type="cellIs" dxfId="69" priority="822" operator="equal">
      <formula>0</formula>
    </cfRule>
    <cfRule type="cellIs" dxfId="68" priority="825" operator="equal">
      <formula>0</formula>
    </cfRule>
  </conditionalFormatting>
  <conditionalFormatting sqref="X192 X196">
    <cfRule type="cellIs" dxfId="67" priority="183" operator="equal">
      <formula>0</formula>
    </cfRule>
    <cfRule type="cellIs" dxfId="66" priority="179" operator="equal">
      <formula>0</formula>
    </cfRule>
  </conditionalFormatting>
  <conditionalFormatting sqref="X192:X193 X196:X198">
    <cfRule type="cellIs" dxfId="65" priority="186" operator="equal">
      <formula>0</formula>
    </cfRule>
    <cfRule type="cellIs" dxfId="64" priority="180" operator="equal">
      <formula>0</formula>
    </cfRule>
  </conditionalFormatting>
  <conditionalFormatting sqref="X192:X194 X196:X198">
    <cfRule type="cellIs" dxfId="63" priority="181" operator="greaterThan">
      <formula>0</formula>
    </cfRule>
    <cfRule type="cellIs" dxfId="62" priority="178" operator="lessThan">
      <formula>0</formula>
    </cfRule>
    <cfRule type="cellIs" dxfId="61" priority="185" operator="greaterThan">
      <formula>0</formula>
    </cfRule>
    <cfRule type="cellIs" dxfId="60" priority="182" operator="greaterThan">
      <formula>0</formula>
    </cfRule>
  </conditionalFormatting>
  <conditionalFormatting sqref="X193">
    <cfRule type="cellIs" dxfId="59" priority="836" operator="equal">
      <formula>0</formula>
    </cfRule>
    <cfRule type="cellIs" dxfId="58" priority="829" operator="equal">
      <formula>0</formula>
    </cfRule>
  </conditionalFormatting>
  <conditionalFormatting sqref="X193:X194">
    <cfRule type="cellIs" dxfId="57" priority="839" operator="equal">
      <formula>0</formula>
    </cfRule>
  </conditionalFormatting>
  <conditionalFormatting sqref="X194">
    <cfRule type="cellIs" dxfId="56" priority="843" operator="equal">
      <formula>0</formula>
    </cfRule>
    <cfRule type="cellIs" dxfId="55" priority="850" operator="equal">
      <formula>0</formula>
    </cfRule>
    <cfRule type="cellIs" dxfId="54" priority="853" operator="equal">
      <formula>0</formula>
    </cfRule>
    <cfRule type="cellIs" dxfId="53" priority="851" operator="equal">
      <formula>0</formula>
    </cfRule>
  </conditionalFormatting>
  <conditionalFormatting sqref="X197:X198">
    <cfRule type="cellIs" dxfId="52" priority="882" operator="equal">
      <formula>0</formula>
    </cfRule>
  </conditionalFormatting>
  <conditionalFormatting sqref="X200:X201">
    <cfRule type="cellIs" dxfId="51" priority="788" operator="greaterThan">
      <formula>0</formula>
    </cfRule>
    <cfRule type="cellIs" dxfId="50" priority="786" operator="greaterThan">
      <formula>0</formula>
    </cfRule>
    <cfRule type="cellIs" dxfId="49" priority="783" operator="lessThan">
      <formula>0</formula>
    </cfRule>
    <cfRule type="cellIs" dxfId="48" priority="784" operator="equal">
      <formula>0</formula>
    </cfRule>
    <cfRule type="cellIs" dxfId="47" priority="785" operator="equal">
      <formula>0</formula>
    </cfRule>
    <cfRule type="cellIs" dxfId="46" priority="795" operator="equal">
      <formula>0</formula>
    </cfRule>
    <cfRule type="cellIs" dxfId="45" priority="792" operator="equal">
      <formula>0</formula>
    </cfRule>
    <cfRule type="cellIs" dxfId="44" priority="794" operator="greaterThan">
      <formula>0</formula>
    </cfRule>
  </conditionalFormatting>
  <conditionalFormatting sqref="X203:X207">
    <cfRule type="cellIs" dxfId="43" priority="779" operator="equal">
      <formula>0</formula>
    </cfRule>
  </conditionalFormatting>
  <conditionalFormatting sqref="X203:X216">
    <cfRule type="cellIs" dxfId="42" priority="780" operator="greaterThan">
      <formula>0</formula>
    </cfRule>
    <cfRule type="cellIs" dxfId="41" priority="781" operator="lessThan">
      <formula>0</formula>
    </cfRule>
  </conditionalFormatting>
  <conditionalFormatting sqref="X208:X216">
    <cfRule type="cellIs" dxfId="40" priority="4251" operator="equal">
      <formula>0</formula>
    </cfRule>
  </conditionalFormatting>
  <conditionalFormatting sqref="X221:X222 X224:X226">
    <cfRule type="cellIs" dxfId="39" priority="1841" operator="equal">
      <formula>0</formula>
    </cfRule>
    <cfRule type="cellIs" dxfId="38" priority="1842" operator="greaterThan">
      <formula>0</formula>
    </cfRule>
    <cfRule type="cellIs" dxfId="37" priority="1843" operator="lessThan">
      <formula>0</formula>
    </cfRule>
  </conditionalFormatting>
  <conditionalFormatting sqref="X224:X226 J5:J15 R208:Z216">
    <cfRule type="cellIs" dxfId="36" priority="2070" operator="equal">
      <formula>0</formula>
    </cfRule>
  </conditionalFormatting>
  <conditionalFormatting sqref="X228:X237">
    <cfRule type="cellIs" dxfId="35" priority="1019" operator="greaterThan">
      <formula>0</formula>
    </cfRule>
    <cfRule type="cellIs" dxfId="34" priority="1020" operator="lessThan">
      <formula>0</formula>
    </cfRule>
    <cfRule type="cellIs" dxfId="33" priority="1018" operator="equal">
      <formula>0</formula>
    </cfRule>
  </conditionalFormatting>
  <conditionalFormatting sqref="X239:X248">
    <cfRule type="cellIs" dxfId="32" priority="1809" operator="equal">
      <formula>0</formula>
    </cfRule>
    <cfRule type="cellIs" dxfId="31" priority="1810" operator="greaterThan">
      <formula>0</formula>
    </cfRule>
    <cfRule type="cellIs" dxfId="30" priority="1811" operator="lessThan">
      <formula>0</formula>
    </cfRule>
  </conditionalFormatting>
  <conditionalFormatting sqref="X250:X253">
    <cfRule type="cellIs" dxfId="29" priority="1326" operator="equal">
      <formula>0</formula>
    </cfRule>
    <cfRule type="cellIs" dxfId="28" priority="1328" operator="lessThan">
      <formula>0</formula>
    </cfRule>
    <cfRule type="cellIs" dxfId="27" priority="1327" operator="greaterThan">
      <formula>0</formula>
    </cfRule>
  </conditionalFormatting>
  <conditionalFormatting sqref="X255:X259 X261:X268">
    <cfRule type="cellIs" dxfId="26" priority="1827" operator="lessThan">
      <formula>0</formula>
    </cfRule>
    <cfRule type="cellIs" dxfId="25" priority="1825" operator="equal">
      <formula>0</formula>
    </cfRule>
    <cfRule type="cellIs" dxfId="24" priority="1826" operator="greaterThan">
      <formula>0</formula>
    </cfRule>
  </conditionalFormatting>
  <conditionalFormatting sqref="X270:X280">
    <cfRule type="cellIs" dxfId="23" priority="1318" operator="lessThan">
      <formula>0</formula>
    </cfRule>
    <cfRule type="cellIs" dxfId="22" priority="1317" operator="greaterThan">
      <formula>0</formula>
    </cfRule>
    <cfRule type="cellIs" dxfId="21" priority="1316" operator="equal">
      <formula>0</formula>
    </cfRule>
  </conditionalFormatting>
  <conditionalFormatting sqref="X96:Y101">
    <cfRule type="cellIs" dxfId="20" priority="1038" operator="equal">
      <formula>0</formula>
    </cfRule>
  </conditionalFormatting>
  <conditionalFormatting sqref="X196:AS196">
    <cfRule type="cellIs" dxfId="19" priority="128" operator="equal">
      <formula>0</formula>
    </cfRule>
  </conditionalFormatting>
  <conditionalFormatting sqref="X184:AT186">
    <cfRule type="cellIs" dxfId="18" priority="5" operator="equal">
      <formula>0</formula>
    </cfRule>
  </conditionalFormatting>
  <conditionalFormatting sqref="X188:AT190">
    <cfRule type="cellIs" dxfId="17" priority="4" operator="equal">
      <formula>0</formula>
    </cfRule>
  </conditionalFormatting>
  <conditionalFormatting sqref="X200:AT201">
    <cfRule type="cellIs" dxfId="16" priority="1" operator="equal">
      <formula>0</formula>
    </cfRule>
  </conditionalFormatting>
  <conditionalFormatting sqref="Y6:Y15">
    <cfRule type="cellIs" dxfId="15" priority="1036" operator="equal">
      <formula>0</formula>
    </cfRule>
  </conditionalFormatting>
  <conditionalFormatting sqref="Y17:Y28 Y39:Y41 R44:Y55 R57:Y68 R70:Y81 R83:Y94 R103:Y114">
    <cfRule type="cellIs" dxfId="14" priority="70" operator="equal">
      <formula>0</formula>
    </cfRule>
  </conditionalFormatting>
  <conditionalFormatting sqref="Y145:Y146 R148:Y156 X192:AR192">
    <cfRule type="cellIs" dxfId="13" priority="164" operator="equal">
      <formula>0</formula>
    </cfRule>
  </conditionalFormatting>
  <conditionalFormatting sqref="Y193:AR194">
    <cfRule type="cellIs" dxfId="12" priority="3" operator="equal">
      <formula>0</formula>
    </cfRule>
  </conditionalFormatting>
  <conditionalFormatting sqref="Y197:AR198">
    <cfRule type="cellIs" dxfId="11" priority="2" operator="equal">
      <formula>0</formula>
    </cfRule>
  </conditionalFormatting>
  <conditionalFormatting sqref="Y168:AT168">
    <cfRule type="cellIs" dxfId="10" priority="53" operator="equal">
      <formula>0</formula>
    </cfRule>
  </conditionalFormatting>
  <conditionalFormatting sqref="Y179:AT182">
    <cfRule type="cellIs" dxfId="9" priority="6" operator="equal">
      <formula>0</formula>
    </cfRule>
  </conditionalFormatting>
  <conditionalFormatting sqref="Y224:AT226">
    <cfRule type="cellIs" dxfId="8" priority="100" operator="equal">
      <formula>0</formula>
    </cfRule>
  </conditionalFormatting>
  <conditionalFormatting sqref="Y228:AT237">
    <cfRule type="cellIs" dxfId="7" priority="78" operator="equal">
      <formula>0</formula>
    </cfRule>
  </conditionalFormatting>
  <conditionalFormatting sqref="Z1:AT156">
    <cfRule type="cellIs" dxfId="6" priority="15" operator="equal">
      <formula>0</formula>
    </cfRule>
  </conditionalFormatting>
  <conditionalFormatting sqref="Z159:AT167 Z199:AT199">
    <cfRule type="cellIs" dxfId="5" priority="199" operator="equal">
      <formula>0</formula>
    </cfRule>
  </conditionalFormatting>
  <conditionalFormatting sqref="Z220:AT220">
    <cfRule type="cellIs" dxfId="4" priority="1265" operator="equal">
      <formula>0</formula>
    </cfRule>
  </conditionalFormatting>
  <conditionalFormatting sqref="Z249:AT249 Z254:AT254">
    <cfRule type="cellIs" dxfId="3" priority="121" operator="equal">
      <formula>0</formula>
    </cfRule>
  </conditionalFormatting>
  <conditionalFormatting sqref="AA216">
    <cfRule type="cellIs" dxfId="2" priority="3172" operator="equal">
      <formula>0</formula>
    </cfRule>
  </conditionalFormatting>
  <conditionalFormatting sqref="AC172:AT176">
    <cfRule type="cellIs" dxfId="1" priority="7" operator="equal">
      <formula>0</formula>
    </cfRule>
  </conditionalFormatting>
  <conditionalFormatting sqref="AS192:AT198 S195:AT195">
    <cfRule type="cellIs" dxfId="0" priority="1158" operator="equal">
      <formula>0</formula>
    </cfRule>
  </conditionalFormatting>
  <pageMargins left="0.7" right="0.7" top="0.75" bottom="0.75" header="0.3" footer="0.3"/>
  <pageSetup paperSize="9" orientation="portrait" horizontalDpi="4294967293" verticalDpi="1200" r:id="rId1"/>
  <ignoredErrors>
    <ignoredError sqref="B180" formula="1"/>
  </ignoredError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C5A4FA-DAC4-4C4A-9707-C2DFB450D9C5}">
          <x14:formula1>
            <xm:f>Données!$D$2:$D$13</xm:f>
          </x14:formula1>
          <xm:sqref>K260:K262 J249:K249 J238 J227:K227 J223:K223 K236:K238 J254:K254 J3:J4 J16 J29 J43 J56 J69 J82 J95 J102 K113:K115 J177 J128 J141 J147 J187 J191 J202 J220:K220 K218:K219 J183:K183 K189:K191 K159:K167 K169:K170 K200:K207 K3:K12 K14:K25 K27:K38 K40:K52 K54:K65 K67:K78 K80:K91 K209 K216 K197:K198 K193:K195 J195 K128:K137 K93:K111 K265:K269 J115 K281 J208:J217 K139:K156 I282:K285 K172:K173 K175:K187 J174:K174 I3:I281</xm:sqref>
        </x14:dataValidation>
        <x14:dataValidation type="list" allowBlank="1" showInputMessage="1" showErrorMessage="1" xr:uid="{826CE99F-6CBC-4039-9879-8E44FFFD395C}">
          <x14:formula1>
            <xm:f>Données!$A$2:$A$33</xm:f>
          </x14:formula1>
          <xm:sqref>A250:A253 A285 A255:A259 A228:A248 A3:A114 A261:A268 A270:A280 A219:A226 A116:A146 A282 A148:A170 A172:A217</xm:sqref>
        </x14:dataValidation>
        <x14:dataValidation type="list" showInputMessage="1" showErrorMessage="1" xr:uid="{2C4457C2-FABE-43AF-84FA-14987ACC652C}">
          <x14:formula1>
            <xm:f>Données!$B$2:$B$17</xm:f>
          </x14:formula1>
          <xm:sqref>C285 C255:C259 C250:C253 C228:C248 C3:C114 C261:C268 C270:C280 C219:C226 C116:C146 C282 C148:C170 C172:C217</xm:sqref>
        </x14:dataValidation>
        <x14:dataValidation type="list" allowBlank="1" showInputMessage="1" showErrorMessage="1" xr:uid="{4039A4DB-008B-412A-9CA9-289E302AFDFE}">
          <x14:formula1>
            <xm:f>Données!$E$2:$E$55</xm:f>
          </x14:formula1>
          <xm:sqref>F238:G238 F254:G254 F249:G249 F260:G260 G16 G220 G158 G187 G183 G147 G141 G128 G177 G102 G95 G82 G69 G56 G43 G29 G3:G4 G191 F227:G227 F223:G223 F270:F280 F239:F248 F250:F253 F255:F259 F269:G269 G199:G202 G208:G217 F261:F268 G195 G115 F281:G285 G174 F172:F222 F3:F170</xm:sqref>
        </x14:dataValidation>
        <x14:dataValidation type="list" allowBlank="1" showInputMessage="1" showErrorMessage="1" xr:uid="{EE595291-EDE9-4034-8F90-102B36452AD7}">
          <x14:formula1>
            <xm:f>Données!$C$2:$C$8</xm:f>
          </x14:formula1>
          <xm:sqref>R3:R4 R199:R201 R254 G5:G15 G17:G28 G30:G42 G44:G55 G57:G68 G70:G81 G96:G101 G83:G94 G103:G114 G142:G146 R174 G129:G140 R16 R29 R43 R56 R69 R82 R95 R102 G116:G127 R177 R128 R147 R158 R220 R227 R238 R249 R141 R183 R187 G224:G226 G188:G190 R191 G218:G219 F228:F237 R195 G270:G280 R223 G250:G253 G255:G259 G221:G222 G239:G248 G148:G170 G200:G201 G261:G268 G192:G194 G196:G198 R115 R282:R285 G203:G216 G172:G173 G175:G186</xm:sqref>
        </x14:dataValidation>
        <x14:dataValidation type="list" allowBlank="1" showInputMessage="1" showErrorMessage="1" xr:uid="{5076AC74-B124-44FB-9D33-073950122983}">
          <x14:formula1>
            <xm:f>Données!$C$2:$C$20</xm:f>
          </x14:formula1>
          <xm:sqref>R3:R4 R199:R201 R254 G5:G15 G17:G28 G30:G42 G44:G55 G57:G68 G70:G81 G96:G101 G83:G94 G103:G114 G142:G146 R174 G129:G140 R16 R187 R183 R141 R249 R238 R227 R220 R158 R147 R128 R177 G116:G127 R102 R95 R82 R69 R56 R43 R29 G224:G226 G188:G190 R191 G218:G219 F228:F237 R195 G270:G280 R223 G250:G253 G255:G259 G221:G222 G239:G248 G148:G170 G200:G201 G261:G268 G192:G194 G196:G198 R115 R282:R285 G203:G216 G172:G173 G175:G186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EDAA-BC4B-40FE-9A4C-555F473CAE29}">
  <sheetPr codeName="Feuil3"/>
  <dimension ref="A1:N43"/>
  <sheetViews>
    <sheetView topLeftCell="A28" workbookViewId="0">
      <selection activeCell="E44" sqref="E44"/>
    </sheetView>
  </sheetViews>
  <sheetFormatPr baseColWidth="10" defaultColWidth="11.42578125" defaultRowHeight="16.5" x14ac:dyDescent="0.25"/>
  <cols>
    <col min="1" max="1" width="19" style="1" bestFit="1" customWidth="1"/>
    <col min="2" max="2" width="19" style="1" customWidth="1"/>
    <col min="3" max="3" width="12.140625" style="1" bestFit="1" customWidth="1"/>
    <col min="4" max="4" width="12.42578125" style="1" bestFit="1" customWidth="1"/>
    <col min="5" max="5" width="22.7109375" style="1" bestFit="1" customWidth="1"/>
    <col min="6" max="6" width="7" style="1" bestFit="1" customWidth="1"/>
    <col min="7" max="16384" width="11.42578125" style="1"/>
  </cols>
  <sheetData>
    <row r="1" spans="1:14" x14ac:dyDescent="0.25">
      <c r="A1" s="2" t="s">
        <v>16</v>
      </c>
      <c r="B1" s="2" t="s">
        <v>29</v>
      </c>
      <c r="C1" s="2" t="s">
        <v>24</v>
      </c>
      <c r="D1" s="2" t="s">
        <v>19</v>
      </c>
      <c r="E1" s="2" t="s">
        <v>17</v>
      </c>
      <c r="F1" s="2" t="s">
        <v>25</v>
      </c>
    </row>
    <row r="2" spans="1:14" x14ac:dyDescent="0.25">
      <c r="A2" s="1" t="s">
        <v>148</v>
      </c>
      <c r="B2" s="1" t="s">
        <v>148</v>
      </c>
      <c r="C2" s="1" t="s">
        <v>90</v>
      </c>
      <c r="D2" s="1" t="s">
        <v>3</v>
      </c>
      <c r="E2" s="3" t="s">
        <v>35</v>
      </c>
      <c r="F2" s="1" t="s">
        <v>13</v>
      </c>
    </row>
    <row r="3" spans="1:14" x14ac:dyDescent="0.25">
      <c r="A3" s="1" t="s">
        <v>0</v>
      </c>
      <c r="B3" s="1" t="s">
        <v>0</v>
      </c>
      <c r="C3" s="1" t="s">
        <v>149</v>
      </c>
      <c r="D3" s="1" t="s">
        <v>4</v>
      </c>
      <c r="E3" s="3" t="s">
        <v>41</v>
      </c>
      <c r="F3" s="1" t="s">
        <v>14</v>
      </c>
    </row>
    <row r="4" spans="1:14" x14ac:dyDescent="0.25">
      <c r="A4" s="1" t="s">
        <v>28</v>
      </c>
      <c r="B4" s="1" t="s">
        <v>28</v>
      </c>
      <c r="C4" s="1" t="s">
        <v>150</v>
      </c>
      <c r="D4" s="1" t="s">
        <v>5</v>
      </c>
      <c r="E4" s="3" t="s">
        <v>32</v>
      </c>
      <c r="G4" s="139"/>
      <c r="H4" s="139"/>
      <c r="I4" s="139"/>
      <c r="J4" s="139"/>
      <c r="K4" s="139"/>
      <c r="L4" s="139"/>
      <c r="M4" s="139"/>
      <c r="N4" s="139"/>
    </row>
    <row r="5" spans="1:14" x14ac:dyDescent="0.25">
      <c r="A5" s="1" t="s">
        <v>30</v>
      </c>
      <c r="B5" s="1" t="s">
        <v>30</v>
      </c>
      <c r="C5" s="1" t="s">
        <v>45</v>
      </c>
      <c r="D5" s="1" t="s">
        <v>1</v>
      </c>
      <c r="E5" s="3" t="s">
        <v>67</v>
      </c>
      <c r="G5" s="139"/>
      <c r="H5" s="139"/>
      <c r="I5" s="139"/>
      <c r="J5" s="139"/>
      <c r="K5" s="139"/>
      <c r="L5" s="139"/>
      <c r="M5" s="139"/>
      <c r="N5" s="139"/>
    </row>
    <row r="6" spans="1:14" x14ac:dyDescent="0.25">
      <c r="A6" s="1" t="s">
        <v>38</v>
      </c>
      <c r="B6" s="1" t="s">
        <v>38</v>
      </c>
      <c r="C6" s="59">
        <v>0.09</v>
      </c>
      <c r="D6" s="1" t="s">
        <v>2</v>
      </c>
      <c r="E6" s="3" t="s">
        <v>36</v>
      </c>
    </row>
    <row r="7" spans="1:14" x14ac:dyDescent="0.25">
      <c r="A7" s="1" t="s">
        <v>27</v>
      </c>
      <c r="B7" s="1" t="s">
        <v>27</v>
      </c>
      <c r="C7" s="1" t="s">
        <v>151</v>
      </c>
      <c r="D7" s="1" t="s">
        <v>6</v>
      </c>
      <c r="E7" s="3" t="s">
        <v>28</v>
      </c>
    </row>
    <row r="8" spans="1:14" x14ac:dyDescent="0.25">
      <c r="A8" s="1" t="s">
        <v>43</v>
      </c>
      <c r="B8" s="1" t="s">
        <v>43</v>
      </c>
      <c r="C8" s="1" t="s">
        <v>152</v>
      </c>
      <c r="D8" s="1" t="s">
        <v>7</v>
      </c>
      <c r="E8" s="3" t="s">
        <v>38</v>
      </c>
    </row>
    <row r="9" spans="1:14" x14ac:dyDescent="0.25">
      <c r="A9" s="1" t="s">
        <v>37</v>
      </c>
      <c r="B9" s="1" t="s">
        <v>37</v>
      </c>
      <c r="C9" s="1" t="s">
        <v>174</v>
      </c>
      <c r="D9" s="1" t="s">
        <v>8</v>
      </c>
      <c r="E9" s="3" t="s">
        <v>30</v>
      </c>
    </row>
    <row r="10" spans="1:14" x14ac:dyDescent="0.25">
      <c r="A10" s="1" t="s">
        <v>73</v>
      </c>
      <c r="B10" s="1" t="s">
        <v>73</v>
      </c>
      <c r="D10" s="1" t="s">
        <v>9</v>
      </c>
      <c r="E10" s="3" t="s">
        <v>21</v>
      </c>
      <c r="G10" s="139"/>
      <c r="H10" s="139"/>
      <c r="I10" s="139"/>
      <c r="J10" s="139"/>
      <c r="K10" s="139"/>
      <c r="L10" s="139"/>
      <c r="M10" s="139"/>
      <c r="N10" s="139"/>
    </row>
    <row r="11" spans="1:14" x14ac:dyDescent="0.25">
      <c r="A11" s="1" t="s">
        <v>52</v>
      </c>
      <c r="B11" s="1" t="s">
        <v>52</v>
      </c>
      <c r="D11" s="1" t="s">
        <v>10</v>
      </c>
      <c r="E11" s="3" t="s">
        <v>70</v>
      </c>
      <c r="G11" s="139"/>
      <c r="H11" s="139"/>
      <c r="I11" s="139"/>
      <c r="J11" s="139"/>
      <c r="K11" s="139"/>
      <c r="L11" s="139"/>
      <c r="M11" s="139"/>
      <c r="N11" s="139"/>
    </row>
    <row r="12" spans="1:14" x14ac:dyDescent="0.25">
      <c r="A12" s="1" t="s">
        <v>124</v>
      </c>
      <c r="B12" s="1" t="s">
        <v>124</v>
      </c>
      <c r="D12" s="1" t="s">
        <v>11</v>
      </c>
      <c r="E12" s="3" t="s">
        <v>39</v>
      </c>
    </row>
    <row r="13" spans="1:14" x14ac:dyDescent="0.25">
      <c r="D13" s="1" t="s">
        <v>12</v>
      </c>
      <c r="E13" s="3" t="s">
        <v>72</v>
      </c>
    </row>
    <row r="14" spans="1:14" x14ac:dyDescent="0.25">
      <c r="E14" s="1" t="s">
        <v>74</v>
      </c>
    </row>
    <row r="15" spans="1:14" x14ac:dyDescent="0.25">
      <c r="E15" s="3" t="s">
        <v>51</v>
      </c>
    </row>
    <row r="16" spans="1:14" x14ac:dyDescent="0.25">
      <c r="E16" s="3" t="s">
        <v>47</v>
      </c>
    </row>
    <row r="17" spans="5:13" x14ac:dyDescent="0.25">
      <c r="E17" s="3" t="s">
        <v>40</v>
      </c>
    </row>
    <row r="18" spans="5:13" x14ac:dyDescent="0.25">
      <c r="E18" s="3" t="s">
        <v>75</v>
      </c>
      <c r="L18" s="59"/>
    </row>
    <row r="19" spans="5:13" x14ac:dyDescent="0.25">
      <c r="E19" s="3" t="s">
        <v>53</v>
      </c>
    </row>
    <row r="20" spans="5:13" x14ac:dyDescent="0.25">
      <c r="E20" s="3" t="s">
        <v>90</v>
      </c>
      <c r="M20" s="3"/>
    </row>
    <row r="21" spans="5:13" x14ac:dyDescent="0.25">
      <c r="E21" s="1" t="s">
        <v>42</v>
      </c>
    </row>
    <row r="22" spans="5:13" x14ac:dyDescent="0.25">
      <c r="E22" s="3" t="s">
        <v>44</v>
      </c>
    </row>
    <row r="23" spans="5:13" x14ac:dyDescent="0.25">
      <c r="E23" s="3" t="s">
        <v>73</v>
      </c>
    </row>
    <row r="24" spans="5:13" x14ac:dyDescent="0.25">
      <c r="E24" s="3" t="s">
        <v>153</v>
      </c>
    </row>
    <row r="25" spans="5:13" x14ac:dyDescent="0.25">
      <c r="E25" s="1" t="s">
        <v>154</v>
      </c>
    </row>
    <row r="26" spans="5:13" x14ac:dyDescent="0.25">
      <c r="E26" s="3" t="s">
        <v>99</v>
      </c>
    </row>
    <row r="27" spans="5:13" x14ac:dyDescent="0.25">
      <c r="E27" s="3" t="s">
        <v>160</v>
      </c>
    </row>
    <row r="28" spans="5:13" x14ac:dyDescent="0.25">
      <c r="E28" s="3" t="s">
        <v>161</v>
      </c>
    </row>
    <row r="29" spans="5:13" x14ac:dyDescent="0.25">
      <c r="E29" s="3" t="s">
        <v>125</v>
      </c>
    </row>
    <row r="30" spans="5:13" x14ac:dyDescent="0.25">
      <c r="E30" s="3" t="s">
        <v>162</v>
      </c>
    </row>
    <row r="31" spans="5:13" x14ac:dyDescent="0.25">
      <c r="E31" s="1" t="s">
        <v>164</v>
      </c>
    </row>
    <row r="32" spans="5:13" x14ac:dyDescent="0.25">
      <c r="E32" s="3" t="s">
        <v>165</v>
      </c>
    </row>
    <row r="33" spans="5:5" x14ac:dyDescent="0.25">
      <c r="E33" s="3" t="s">
        <v>124</v>
      </c>
    </row>
    <row r="34" spans="5:5" x14ac:dyDescent="0.25">
      <c r="E34" s="3" t="s">
        <v>166</v>
      </c>
    </row>
    <row r="35" spans="5:5" x14ac:dyDescent="0.25">
      <c r="E35" s="3" t="s">
        <v>167</v>
      </c>
    </row>
    <row r="36" spans="5:5" x14ac:dyDescent="0.25">
      <c r="E36" s="3" t="s">
        <v>168</v>
      </c>
    </row>
    <row r="37" spans="5:5" x14ac:dyDescent="0.25">
      <c r="E37" s="3" t="s">
        <v>52</v>
      </c>
    </row>
    <row r="38" spans="5:5" x14ac:dyDescent="0.25">
      <c r="E38" s="1" t="s">
        <v>173</v>
      </c>
    </row>
    <row r="39" spans="5:5" x14ac:dyDescent="0.25">
      <c r="E39" s="3" t="s">
        <v>172</v>
      </c>
    </row>
    <row r="40" spans="5:5" x14ac:dyDescent="0.25">
      <c r="E40" s="3" t="s">
        <v>169</v>
      </c>
    </row>
    <row r="41" spans="5:5" x14ac:dyDescent="0.25">
      <c r="E41" s="3" t="s">
        <v>170</v>
      </c>
    </row>
    <row r="42" spans="5:5" x14ac:dyDescent="0.25">
      <c r="E42" s="3" t="s">
        <v>116</v>
      </c>
    </row>
    <row r="43" spans="5:5" x14ac:dyDescent="0.25">
      <c r="E43" s="1" t="s">
        <v>118</v>
      </c>
    </row>
  </sheetData>
  <mergeCells count="4">
    <mergeCell ref="G5:N5"/>
    <mergeCell ref="G11:N11"/>
    <mergeCell ref="G4:N4"/>
    <mergeCell ref="G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MISSIONS</vt:lpstr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Ulmann</dc:creator>
  <cp:lastModifiedBy>Fred Ulmann</cp:lastModifiedBy>
  <dcterms:created xsi:type="dcterms:W3CDTF">2015-06-05T18:19:34Z</dcterms:created>
  <dcterms:modified xsi:type="dcterms:W3CDTF">2025-10-25T09:37:04Z</dcterms:modified>
</cp:coreProperties>
</file>